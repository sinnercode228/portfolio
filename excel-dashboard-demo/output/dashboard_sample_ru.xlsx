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" sheetId="1" state="visible" r:id="rId1"/>
    <sheet name="Простои" sheetId="2" state="visible" r:id="rId2"/>
    <sheet name="Настройки" sheetId="3" state="visible" r:id="rId3"/>
    <sheet name="Данные" sheetId="4" state="visible" r:id="rId4"/>
    <sheet name="Журнал загрузки" sheetId="5" state="visible" r:id="rId5"/>
    <sheet name="Списки" sheetId="6" state="hidden" r:id="rId6"/>
  </sheets>
  <definedNames>
    <definedName name="critShift">'Списки'!$F$2</definedName>
    <definedName name="critDept">'Списки'!$F$3</definedName>
    <definedName name="dFrom">'Списки'!$F$4</definedName>
    <definedName name="dTo">'Списки'!$F$5</definedName>
    <definedName name="periodText">'Списки'!$F$6</definedName>
    <definedName name="filterCaption">'Списки'!$F$7</definedName>
    <definedName name="lstShift">'Списки'!$A$2:$A$5</definedName>
    <definedName name="lstDept">'Списки'!$B$2:$B$6</definedName>
    <definedName name="lstDates">OFFSET('Списки'!$C$2,0,0,MAX(1,COUNT('Списки'!$C$2:$C$401)),1)</definedName>
    <definedName name="selShift">'Настройки'!$C$5</definedName>
    <definedName name="selDept">'Настройки'!$C$6</definedName>
    <definedName name="selFrom">'Настройки'!$C$7</definedName>
    <definedName name="selTo">'Настройки'!$C$8</definedName>
    <definedName name="tgtAvail">'Настройки'!$C$9</definedName>
    <definedName name="_xlnm.Print_Area" localSheetId="0">'Дашборд'!$A$1:$R$67</definedName>
    <definedName name="_xlnm._FilterDatabase" localSheetId="4" hidden="1">'Журнал загрузки'!$B$12:$D$37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.mm.yyyy"/>
    <numFmt numFmtId="166" formatCode="yyyy-mm-dd"/>
    <numFmt numFmtId="167" formatCode="#,##0;-#,##0;&quot;–&quot;"/>
    <numFmt numFmtId="168" formatCode="#,##0.0;-#,##0.0;&quot;–&quot;"/>
    <numFmt numFmtId="169" formatCode="0.0%;-0.0%;&quot;–&quot;"/>
    <numFmt numFmtId="170" formatCode="0.000000"/>
  </numFmts>
  <fonts count="19">
    <font>
      <name val="Calibri"/>
      <family val="2"/>
      <color theme="1"/>
      <sz val="11"/>
      <scheme val="minor"/>
    </font>
    <font>
      <name val="Arial"/>
      <color rgb="000B0B0B"/>
      <sz val="10"/>
    </font>
    <font>
      <name val="Arial"/>
      <b val="1"/>
      <color rgb="00FFFFFF"/>
      <sz val="10"/>
    </font>
    <font>
      <name val="Arial"/>
      <b val="1"/>
      <color rgb="00FFFFFF"/>
      <sz val="16"/>
    </font>
    <font>
      <name val="Arial"/>
      <i val="1"/>
      <color rgb="0052514E"/>
      <sz val="9"/>
    </font>
    <font>
      <name val="Arial"/>
      <b val="1"/>
      <color rgb="00FFFFFF"/>
      <sz val="9"/>
    </font>
    <font>
      <name val="Arial"/>
      <b val="1"/>
      <color rgb="000B0B0B"/>
      <sz val="10"/>
    </font>
    <font>
      <name val="Arial"/>
      <b val="1"/>
      <color rgb="000000FF"/>
      <sz val="11"/>
    </font>
    <font>
      <name val="Arial"/>
      <color rgb="0052514E"/>
      <sz val="10"/>
    </font>
    <font>
      <name val="Arial"/>
      <b val="1"/>
      <color rgb="001F3B57"/>
      <sz val="12"/>
    </font>
    <font>
      <name val="Arial"/>
      <color rgb="000000FF"/>
      <sz val="9"/>
    </font>
    <font>
      <name val="Arial"/>
      <b val="1"/>
      <color rgb="0052514E"/>
      <sz val="10"/>
    </font>
    <font>
      <name val="Arial"/>
      <i val="1"/>
      <color rgb="00898781"/>
      <sz val="8"/>
    </font>
    <font>
      <name val="Arial"/>
      <color rgb="00898781"/>
      <sz val="10"/>
    </font>
    <font>
      <name val="Arial"/>
      <b val="1"/>
      <color rgb="0052514E"/>
      <sz val="8"/>
    </font>
    <font>
      <name val="Arial"/>
      <b val="1"/>
      <color rgb="001F3B57"/>
      <sz val="20"/>
    </font>
    <font>
      <name val="Arial"/>
      <b val="1"/>
      <color rgb="0052514E"/>
      <sz val="9"/>
    </font>
    <font>
      <name val="Arial"/>
      <b val="1"/>
      <color rgb="001F3B57"/>
      <sz val="14"/>
    </font>
    <font>
      <name val="Arial"/>
      <color rgb="00D03B3B"/>
      <sz val="10"/>
    </font>
  </fonts>
  <fills count="5">
    <fill>
      <patternFill/>
    </fill>
    <fill>
      <patternFill patternType="gray125"/>
    </fill>
    <fill>
      <patternFill patternType="solid">
        <fgColor rgb="001F3B57"/>
        <bgColor rgb="001F3B57"/>
      </patternFill>
    </fill>
    <fill>
      <patternFill patternType="solid">
        <fgColor rgb="00FFF4C2"/>
        <bgColor rgb="00FFF4C2"/>
      </patternFill>
    </fill>
    <fill>
      <patternFill patternType="solid">
        <fgColor rgb="00F4F3EF"/>
        <bgColor rgb="00F4F3EF"/>
      </patternFill>
    </fill>
  </fills>
  <borders count="5">
    <border>
      <left/>
      <right/>
      <top/>
      <bottom/>
      <diagonal/>
    </border>
    <border>
      <left style="thin">
        <color rgb="00E1E0D9"/>
      </left>
      <right style="thin">
        <color rgb="00E1E0D9"/>
      </right>
      <top style="thin">
        <color rgb="00E1E0D9"/>
      </top>
      <bottom style="thin">
        <color rgb="00E1E0D9"/>
      </bottom>
    </border>
    <border>
      <left style="thin">
        <color rgb="00C9A800"/>
      </left>
      <right style="thin">
        <color rgb="00C9A800"/>
      </right>
      <top style="thin">
        <color rgb="00C9A800"/>
      </top>
      <bottom style="thin">
        <color rgb="00C9A800"/>
      </bottom>
    </border>
    <border>
      <top style="thin">
        <color rgb="0052514E"/>
      </top>
      <bottom style="double">
        <color rgb="0052514E"/>
      </bottom>
    </border>
    <border>
      <bottom style="thin">
        <color rgb="00C3C2B7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3" fillId="2" borderId="0" applyAlignment="1" pivotButton="0" quotePrefix="0" xfId="0">
      <alignment vertical="center" indent="1"/>
    </xf>
    <xf numFmtId="0" fontId="0" fillId="2" borderId="0" pivotButton="0" quotePrefix="0" xfId="0"/>
    <xf numFmtId="0" fontId="4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4" fillId="4" borderId="4" applyAlignment="1" pivotButton="0" quotePrefix="0" xfId="0">
      <alignment vertical="center" indent="1"/>
    </xf>
    <xf numFmtId="0" fontId="0" fillId="4" borderId="4" pivotButton="0" quotePrefix="0" xfId="0"/>
    <xf numFmtId="168" fontId="15" fillId="4" borderId="0" applyAlignment="1" pivotButton="0" quotePrefix="0" xfId="0">
      <alignment horizontal="left" vertical="center" shrinkToFit="1" indent="1"/>
    </xf>
    <xf numFmtId="169" fontId="15" fillId="4" borderId="0" applyAlignment="1" pivotButton="0" quotePrefix="0" xfId="0">
      <alignment horizontal="left" vertical="center" shrinkToFit="1" indent="1"/>
    </xf>
    <xf numFmtId="167" fontId="15" fillId="4" borderId="0" applyAlignment="1" pivotButton="0" quotePrefix="0" xfId="0">
      <alignment horizontal="left" vertical="center" shrinkToFit="1" indent="1"/>
    </xf>
    <xf numFmtId="0" fontId="17" fillId="4" borderId="0" applyAlignment="1" pivotButton="0" quotePrefix="0" xfId="0">
      <alignment horizontal="left" vertical="center" shrinkToFit="1" indent="1"/>
    </xf>
    <xf numFmtId="0" fontId="12" fillId="4" borderId="0" applyAlignment="1" pivotButton="0" quotePrefix="0" xfId="0">
      <alignment vertical="center" indent="1"/>
    </xf>
    <xf numFmtId="0" fontId="0" fillId="4" borderId="0" pivotButton="0" quotePrefix="0" xfId="0"/>
    <xf numFmtId="0" fontId="16" fillId="4" borderId="0" applyAlignment="1" pivotButton="0" quotePrefix="0" xfId="0">
      <alignment vertical="center" indent="1"/>
    </xf>
    <xf numFmtId="0" fontId="9" fillId="0" borderId="0" pivotButton="0" quotePrefix="0" xfId="0"/>
    <xf numFmtId="0" fontId="5" fillId="2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indent="1"/>
    </xf>
    <xf numFmtId="168" fontId="1" fillId="0" borderId="1" applyAlignment="1" pivotButton="0" quotePrefix="0" xfId="0">
      <alignment horizontal="right" vertical="center"/>
    </xf>
    <xf numFmtId="169" fontId="1" fillId="0" borderId="1" applyAlignment="1" pivotButton="0" quotePrefix="0" xfId="0">
      <alignment horizontal="right" vertical="center"/>
    </xf>
    <xf numFmtId="167" fontId="1" fillId="0" borderId="1" applyAlignment="1" pivotButton="0" quotePrefix="0" xfId="0">
      <alignment horizontal="right" vertical="center"/>
    </xf>
    <xf numFmtId="0" fontId="6" fillId="4" borderId="3" applyAlignment="1" pivotButton="0" quotePrefix="0" xfId="0">
      <alignment horizontal="left" indent="1"/>
    </xf>
    <xf numFmtId="168" fontId="6" fillId="4" borderId="3" applyAlignment="1" pivotButton="0" quotePrefix="0" xfId="0">
      <alignment horizontal="right"/>
    </xf>
    <xf numFmtId="169" fontId="6" fillId="4" borderId="3" applyAlignment="1" pivotButton="0" quotePrefix="0" xfId="0">
      <alignment horizontal="right"/>
    </xf>
    <xf numFmtId="167" fontId="6" fillId="4" borderId="3" applyAlignment="1" pivotButton="0" quotePrefix="0" xfId="0">
      <alignment horizontal="right"/>
    </xf>
    <xf numFmtId="0" fontId="8" fillId="0" borderId="1" applyAlignment="1" pivotButton="0" quotePrefix="0" xfId="0">
      <alignment horizontal="left" vertical="center" indent="1"/>
    </xf>
    <xf numFmtId="0" fontId="6" fillId="4" borderId="3" pivotButton="0" quotePrefix="0" xfId="0"/>
    <xf numFmtId="1" fontId="1" fillId="0" borderId="1" applyAlignment="1" pivotButton="0" quotePrefix="0" xfId="0">
      <alignment horizontal="center" vertical="center"/>
    </xf>
    <xf numFmtId="170" fontId="13" fillId="0" borderId="1" applyAlignment="1" pivotButton="0" quotePrefix="0" xfId="0">
      <alignment horizontal="right" vertical="center"/>
    </xf>
    <xf numFmtId="168" fontId="1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8" fontId="6" fillId="4" borderId="3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7" fillId="3" borderId="2" applyAlignment="1" pivotButton="0" quotePrefix="0" xfId="0">
      <alignment horizontal="center" vertical="center"/>
    </xf>
    <xf numFmtId="166" fontId="7" fillId="3" borderId="2" applyAlignment="1" pivotButton="0" quotePrefix="0" xfId="0">
      <alignment horizontal="center" vertical="center"/>
    </xf>
    <xf numFmtId="9" fontId="7" fillId="3" borderId="2" applyAlignment="1" pivotButton="0" quotePrefix="0" xfId="0">
      <alignment horizontal="center" vertical="center"/>
    </xf>
    <xf numFmtId="0" fontId="6" fillId="0" borderId="0" pivotButton="0" quotePrefix="0" xfId="0"/>
    <xf numFmtId="167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0" fontId="10" fillId="3" borderId="2" applyAlignment="1" pivotButton="0" quotePrefix="0" xfId="0">
      <alignment horizontal="left" vertical="center"/>
    </xf>
    <xf numFmtId="0" fontId="2" fillId="0" borderId="0" pivotButton="0" quotePrefix="0" xfId="0"/>
    <xf numFmtId="165" fontId="1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1" fontId="1" fillId="0" borderId="0" pivotButton="0" quotePrefix="0" xfId="0"/>
    <xf numFmtId="1" fontId="6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indent="1"/>
    </xf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006300"/>
      </font>
    </dxf>
    <dxf>
      <font>
        <b val="1"/>
        <color rgb="00D03B3B"/>
      </font>
    </dxf>
    <dxf>
      <font>
        <b val="1"/>
        <color rgb="00D03B3B"/>
      </font>
      <numFmt numFmtId="300" formatCode="&quot;▼ &quot;0.0%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 sz="1100" b="1">
                <a:solidFill>
                  <a:srgbClr val="1F3B57"/>
                </a:solidFill>
                <a:latin typeface="Arial"/>
              </a:defRPr>
            </a:pPr>
            <a:r>
              <a:rPr sz="1100" b="1">
                <a:solidFill>
                  <a:srgbClr val="1F3B57"/>
                </a:solidFill>
                <a:latin typeface="Arial"/>
              </a:rPr>
              <a:t>Доступность по цехам и цель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'Дашборд'!E11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'Дашборд'!$B$12:$B$15</f>
            </numRef>
          </cat>
          <val>
            <numRef>
              <f>'Дашборд'!$E$12:$E$15</f>
            </numRef>
          </val>
        </ser>
        <dLbls>
          <numFmt formatCode="0.0%"/>
          <txPr>
            <a:bodyPr/>
            <a:p>
              <a:pPr>
                <a:defRPr sz="900" b="1">
                  <a:solidFill>
                    <a:srgbClr val="52514E"/>
                  </a:solidFill>
                  <a:latin typeface="Arial"/>
                </a:defRPr>
              </a:pPr>
              <a:r>
                <a:t/>
              </a:r>
              <a:endParaRPr sz="900" b="1">
                <a:solidFill>
                  <a:srgbClr val="52514E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lineChart>
        <grouping val="standard"/>
        <ser>
          <idx val="1"/>
          <order val="1"/>
          <tx>
            <strRef>
              <f>'Списки'!H1</f>
            </strRef>
          </tx>
          <spPr>
            <a:ln w="19050">
              <a:solidFill>
                <a:srgbClr val="52514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'Списки'!$H$2:$H$5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C3C2B7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900" b="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898781"/>
              </a:solidFill>
              <a:latin typeface="Arial"/>
            </a:endParaRPr>
          </a:p>
        </txPr>
        <crossAx val="10"/>
      </valAx>
    </plotArea>
    <legend>
      <legendPos val="b"/>
      <overlay val="0"/>
      <txPr>
        <a:bodyPr/>
        <a:p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 sz="1100" b="1">
                <a:solidFill>
                  <a:srgbClr val="1F3B57"/>
                </a:solidFill>
                <a:latin typeface="Arial"/>
              </a:defRPr>
            </a:pPr>
            <a:r>
              <a:rPr sz="1100" b="1">
                <a:solidFill>
                  <a:srgbClr val="1F3B57"/>
                </a:solidFill>
                <a:latin typeface="Arial"/>
              </a:rPr>
              <a:t>Работа и простой по оборудованию, ч</a:t>
            </a:r>
          </a:p>
        </rich>
      </tx>
      <overlay val="0"/>
    </title>
    <plotArea>
      <barChart>
        <barDir val="bar"/>
        <grouping val="stacked"/>
        <ser>
          <idx val="0"/>
          <order val="0"/>
          <tx>
            <strRef>
              <f>'Дашборд'!C27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'Дашборд'!$B$28:$B$35</f>
            </numRef>
          </cat>
          <val>
            <numRef>
              <f>'Дашборд'!$C$28:$C$35</f>
            </numRef>
          </val>
        </ser>
        <ser>
          <idx val="1"/>
          <order val="1"/>
          <tx>
            <strRef>
              <f>'Дашборд'!D27</f>
            </strRef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'Дашборд'!$B$28:$B$35</f>
            </numRef>
          </cat>
          <val>
            <numRef>
              <f>'Дашборд'!$D$28:$D$35</f>
            </numRef>
          </val>
        </ser>
        <gapWidth val="6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C3C2B7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900" b="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898781"/>
              </a:solidFill>
              <a:latin typeface="Arial"/>
            </a:endParaRPr>
          </a:p>
        </txPr>
        <crossAx val="10"/>
        <crosses val="max"/>
      </valAx>
    </plotArea>
    <legend>
      <legendPos val="b"/>
      <overlay val="0"/>
      <txPr>
        <a:bodyPr/>
        <a:p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 sz="1100" b="1">
                <a:solidFill>
                  <a:srgbClr val="1F3B57"/>
                </a:solidFill>
                <a:latin typeface="Arial"/>
              </a:defRPr>
            </a:pPr>
            <a:r>
              <a:rPr sz="1100" b="1">
                <a:solidFill>
                  <a:srgbClr val="1F3B57"/>
                </a:solidFill>
                <a:latin typeface="Arial"/>
              </a:rPr>
              <a:t>Работа и простой по сотрудникам, ч</a:t>
            </a:r>
          </a:p>
        </rich>
      </tx>
      <overlay val="0"/>
    </title>
    <plotArea>
      <barChart>
        <barDir val="bar"/>
        <grouping val="stacked"/>
        <ser>
          <idx val="0"/>
          <order val="0"/>
          <tx>
            <strRef>
              <f>'Дашборд'!C43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'Дашборд'!$B$44:$B$61</f>
            </numRef>
          </cat>
          <val>
            <numRef>
              <f>'Дашборд'!$C$44:$C$61</f>
            </numRef>
          </val>
        </ser>
        <ser>
          <idx val="1"/>
          <order val="1"/>
          <tx>
            <strRef>
              <f>'Дашборд'!D43</f>
            </strRef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'Дашборд'!$B$44:$B$61</f>
            </numRef>
          </cat>
          <val>
            <numRef>
              <f>'Дашборд'!$D$44:$D$61</f>
            </numRef>
          </val>
        </ser>
        <gapWidth val="6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C3C2B7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900" b="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898781"/>
              </a:solidFill>
              <a:latin typeface="Arial"/>
            </a:endParaRPr>
          </a:p>
        </txPr>
        <crossAx val="10"/>
        <crosses val="max"/>
      </valAx>
    </plotArea>
    <legend>
      <legendPos val="b"/>
      <overlay val="0"/>
      <txPr>
        <a:bodyPr/>
        <a:p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 sz="1100" b="1">
                <a:solidFill>
                  <a:srgbClr val="1F3B57"/>
                </a:solidFill>
                <a:latin typeface="Arial"/>
              </a:defRPr>
            </a:pPr>
            <a:r>
              <a:rPr sz="1100" b="1">
                <a:solidFill>
                  <a:srgbClr val="1F3B57"/>
                </a:solidFill>
                <a:latin typeface="Arial"/>
              </a:rPr>
              <a:t>Часы простоя по оборудованию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'Простои'!D6</f>
            </strRef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'Простои'!$B$7:$B$14</f>
            </numRef>
          </cat>
          <val>
            <numRef>
              <f>'Простои'!$D$7:$D$14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C3C2B7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900" b="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898781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 sz="1100" b="1">
                <a:solidFill>
                  <a:srgbClr val="1F3B57"/>
                </a:solidFill>
                <a:latin typeface="Arial"/>
              </a:defRPr>
            </a:pPr>
            <a:r>
              <a:rPr sz="1100" b="1">
                <a:solidFill>
                  <a:srgbClr val="1F3B57"/>
                </a:solidFill>
                <a:latin typeface="Arial"/>
              </a:rPr>
              <a:t>Главные причины простоя, ч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'Простои'!D22</f>
            </strRef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'Простои'!$C$23:$C$27</f>
            </numRef>
          </cat>
          <val>
            <numRef>
              <f>'Простои'!$D$23:$D$27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C3C2B7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900" b="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898781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9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25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41</row>
      <rowOff>0</rowOff>
    </from>
    <ext cx="6120000" cy="446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20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Data" displayName="tblData" ref="A1:H413" headerRowCount="1">
  <autoFilter ref="A1:H413"/>
  <tableColumns count="8">
    <tableColumn id="1" name="Дата"/>
    <tableColumn id="2" name="Смена"/>
    <tableColumn id="3" name="Цех"/>
    <tableColumn id="4" name="Оборудование"/>
    <tableColumn id="5" name="Сотрудник"/>
    <tableColumn id="6" name="ЧасыРаботы"/>
    <tableColumn id="7" name="ПростойМин"/>
    <tableColumn id="8" name="ПричинаПросто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R62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3" customWidth="1" min="5" max="5"/>
    <col width="11" customWidth="1" min="6" max="6"/>
    <col width="13" customWidth="1" min="7" max="7"/>
    <col width="3" customWidth="1" min="8" max="8"/>
    <col width="3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</cols>
  <sheetData>
    <row r="1" ht="30" customHeight="1">
      <c r="B1" s="1" t="inlineStr">
        <is>
          <t>Производственный дашборд — Quillmoor Machining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B2" s="3" t="inlineStr">
        <is>
          <t>Демо-проект · Demo project — компания, люди и цифры вымышлены</t>
        </is>
      </c>
    </row>
    <row r="3">
      <c r="B3" s="4" t="str">
        <f>filterCaption</f>
        <v>Смена: Все   ·   Цех: Все   ·   Период: 01.09.2026 – 30.09.2026</v>
      </c>
      <c r="J3" s="5" t="inlineStr">
        <is>
          <t>Фильтры меняются на листе «Настройки»</t>
        </is>
      </c>
    </row>
    <row r="5">
      <c r="B5" s="6" t="inlineStr">
        <is>
          <t>ЧАСЫ РАБОТЫ</t>
        </is>
      </c>
      <c r="C5" s="7" t="n"/>
      <c r="D5" s="6" t="inlineStr">
        <is>
          <t>ЧАСЫ ПРОСТОЯ</t>
        </is>
      </c>
      <c r="E5" s="7" t="n"/>
      <c r="F5" s="6" t="inlineStr">
        <is>
          <t>ДОСТУПНОСТЬ</t>
        </is>
      </c>
      <c r="G5" s="7" t="n"/>
      <c r="J5" s="6" t="inlineStr">
        <is>
          <t>СМЕН В ВЫБОРКЕ</t>
        </is>
      </c>
      <c r="K5" s="7" t="n"/>
      <c r="L5" s="7" t="n"/>
      <c r="M5" s="6" t="inlineStr">
        <is>
          <t>СЛУЧАЕВ ПРОСТОЯ</t>
        </is>
      </c>
      <c r="N5" s="7" t="n"/>
      <c r="O5" s="7" t="n"/>
      <c r="P5" s="6" t="inlineStr">
        <is>
          <t>ГЛАВНАЯ ПРИЧИНА</t>
        </is>
      </c>
      <c r="Q5" s="7" t="n"/>
      <c r="R5" s="7" t="n"/>
    </row>
    <row r="6">
      <c r="B6" s="8">
        <f>SUMIFS(tblData[ЧасыРаботы],tblData[Смена],critShift,tblData[Цех],critDept,tblData[Дата],"&gt;="&amp;dFrom,tblData[Дата],"&lt;="&amp;dTo)</f>
        <v>2881.2</v>
      </c>
      <c r="D6" s="8">
        <f>SUMIFS(tblData[ПростойМин],tblData[Смена],critShift,tblData[Цех],critDept,tblData[Дата],"&gt;="&amp;dFrom,tblData[Дата],"&lt;="&amp;dTo)/60</f>
        <v>414.8333333333333</v>
      </c>
      <c r="F6" s="9">
        <f>IF(B6+D6=0,"",B6/(B6+D6))</f>
        <v>0.8741416450076354</v>
      </c>
      <c r="J6" s="10">
        <f>COUNTIFS(tblData[Смена],critShift,tblData[Цех],critDept,tblData[Дата],"&gt;="&amp;dFrom,tblData[Дата],"&lt;="&amp;dTo)</f>
        <v>412</v>
      </c>
      <c r="M6" s="10">
        <f>COUNTIFS(tblData[ПростойМин],"&gt;0",tblData[Смена],critShift,tblData[Цех],critDept,tblData[Дата],"&gt;="&amp;dFrom,tblData[Дата],"&lt;="&amp;dTo)</f>
        <v>256</v>
      </c>
      <c r="P6" s="11" t="str">
        <f>IF('Простои'!$C$23="","–",'Простои'!$C$23)</f>
        <v>Поломка</v>
      </c>
    </row>
    <row r="7"/>
    <row r="8">
      <c r="B8" s="12" t="inlineStr">
        <is>
          <t>сумма ЧасыРаботы</t>
        </is>
      </c>
      <c r="C8" s="13" t="n"/>
      <c r="D8" s="12" t="inlineStr">
        <is>
          <t>ПростойМин ÷ 60</t>
        </is>
      </c>
      <c r="E8" s="13" t="n"/>
      <c r="F8" s="14" t="str">
        <f>IF(F6="","",IF(F6&gt;=tgtAvail,"▲ ","▼ ")&amp;"цель "&amp;ROUND(tgtAvail*100,1)&amp;"%")</f>
        <v>▲ цель 85%</v>
      </c>
      <c r="G8" s="13" t="n"/>
      <c r="J8" s="12" t="inlineStr">
        <is>
          <t>строк по фильтрам</t>
        </is>
      </c>
      <c r="K8" s="13" t="n"/>
      <c r="L8" s="13" t="n"/>
      <c r="M8" s="12" t="inlineStr">
        <is>
          <t>строк с простоем</t>
        </is>
      </c>
      <c r="N8" s="13" t="n"/>
      <c r="O8" s="13" t="n"/>
      <c r="P8" s="12" t="inlineStr">
        <is>
          <t>по часам простоя</t>
        </is>
      </c>
      <c r="Q8" s="13" t="n"/>
      <c r="R8" s="13" t="n"/>
    </row>
    <row r="10">
      <c r="B10" s="15" t="inlineStr">
        <is>
          <t>По цехам</t>
        </is>
      </c>
      <c r="D10" s="5" t="inlineStr">
        <is>
          <t>нулевые значения показаны как «–»</t>
        </is>
      </c>
    </row>
    <row r="11" ht="30" customHeight="1">
      <c r="B11" s="16" t="inlineStr">
        <is>
          <t>Цех</t>
        </is>
      </c>
      <c r="C11" s="17" t="inlineStr">
        <is>
          <t>Работа, ч</t>
        </is>
      </c>
      <c r="D11" s="17" t="inlineStr">
        <is>
          <t>Простой, ч</t>
        </is>
      </c>
      <c r="E11" s="17" t="inlineStr">
        <is>
          <t>Доступность</t>
        </is>
      </c>
      <c r="F11" s="17" t="inlineStr">
        <is>
          <t>Смен</t>
        </is>
      </c>
      <c r="G11" s="17" t="inlineStr">
        <is>
          <t>Доля простоев</t>
        </is>
      </c>
    </row>
    <row r="12">
      <c r="B12" s="18" t="inlineStr">
        <is>
          <t>Мехобработка</t>
        </is>
      </c>
      <c r="C12" s="19">
        <f>SUMIFS(tblData[ЧасыРаботы],tblData[Цех],$B12,tblData[Смена],critShift,tblData[Цех],critDept,tblData[Дата],"&gt;="&amp;dFrom,tblData[Дата],"&lt;="&amp;dTo)</f>
        <v>1389.9</v>
      </c>
      <c r="D12" s="19">
        <f>SUMIFS(tblData[ПростойМин],tblData[Цех],$B12,tblData[Смена],critShift,tblData[Цех],critDept,tblData[Дата],"&gt;="&amp;dFrom,tblData[Дата],"&lt;="&amp;dTo)/60</f>
        <v>218.16666666666666</v>
      </c>
      <c r="E12" s="20">
        <f>IF(C12+D12=0,"",C12/(C12+D12))</f>
        <v>0.8643298370714315</v>
      </c>
      <c r="F12" s="21">
        <f>COUNTIFS(tblData[Цех],$B12,tblData[Смена],critShift,tblData[Цех],critDept,tblData[Дата],"&gt;="&amp;dFrom,tblData[Дата],"&lt;="&amp;dTo)</f>
        <v>201</v>
      </c>
      <c r="G12" s="20">
        <f>IF($D$16=0,0,D12/$D$16)</f>
        <v>0.52591402169546</v>
      </c>
    </row>
    <row r="13">
      <c r="B13" s="18" t="inlineStr">
        <is>
          <t>Покраска</t>
        </is>
      </c>
      <c r="C13" s="19">
        <f>SUMIFS(tblData[ЧасыРаботы],tblData[Цех],$B13,tblData[Смена],critShift,tblData[Цех],critDept,tblData[Дата],"&gt;="&amp;dFrom,tblData[Дата],"&lt;="&amp;dTo)</f>
        <v>190</v>
      </c>
      <c r="D13" s="19">
        <f>SUMIFS(tblData[ПростойМин],tblData[Цех],$B13,tblData[Смена],critShift,tblData[Цех],critDept,tblData[Дата],"&gt;="&amp;dFrom,tblData[Дата],"&lt;="&amp;dTo)/60</f>
        <v>18</v>
      </c>
      <c r="E13" s="20">
        <f>IF(C13+D13=0,"",C13/(C13+D13))</f>
        <v>0.9134615384615384</v>
      </c>
      <c r="F13" s="21">
        <f>COUNTIFS(tblData[Цех],$B13,tblData[Смена],critShift,tblData[Цех],critDept,tblData[Дата],"&gt;="&amp;dFrom,tblData[Дата],"&lt;="&amp;dTo)</f>
        <v>26</v>
      </c>
      <c r="G13" s="20">
        <f>IF($D$16=0,0,D13/$D$16)</f>
        <v>0.043390920048212135</v>
      </c>
    </row>
    <row r="14">
      <c r="B14" s="18" t="inlineStr">
        <is>
          <t>Сборка</t>
        </is>
      </c>
      <c r="C14" s="19">
        <f>SUMIFS(tblData[ЧасыРаботы],tblData[Цех],$B14,tblData[Смена],critShift,tblData[Цех],critDept,tblData[Дата],"&gt;="&amp;dFrom,tblData[Дата],"&lt;="&amp;dTo)</f>
        <v>651.81</v>
      </c>
      <c r="D14" s="19">
        <f>SUMIFS(tblData[ПростойМин],tblData[Цех],$B14,tblData[Смена],critShift,tblData[Цех],critDept,tblData[Дата],"&gt;="&amp;dFrom,tblData[Дата],"&lt;="&amp;dTo)/60</f>
        <v>84.16666666666667</v>
      </c>
      <c r="E14" s="20">
        <f>IF(C14+D14=0,"",C14/(C14+D14))</f>
        <v>0.8856394903823944</v>
      </c>
      <c r="F14" s="21">
        <f>COUNTIFS(tblData[Цех],$B14,tblData[Смена],critShift,tblData[Цех],critDept,tblData[Дата],"&gt;="&amp;dFrom,tblData[Дата],"&lt;="&amp;dTo)</f>
        <v>92</v>
      </c>
      <c r="G14" s="20">
        <f>IF($D$16=0,0,D14/$D$16)</f>
        <v>0.20289272800321417</v>
      </c>
    </row>
    <row r="15">
      <c r="B15" s="18" t="inlineStr">
        <is>
          <t>Сварка</t>
        </is>
      </c>
      <c r="C15" s="19">
        <f>SUMIFS(tblData[ЧасыРаботы],tblData[Цех],$B15,tblData[Смена],critShift,tblData[Цех],critDept,tblData[Дата],"&gt;="&amp;dFrom,tblData[Дата],"&lt;="&amp;dTo)</f>
        <v>649.49</v>
      </c>
      <c r="D15" s="19">
        <f>SUMIFS(tblData[ПростойМин],tblData[Цех],$B15,tblData[Смена],critShift,tblData[Цех],critDept,tblData[Дата],"&gt;="&amp;dFrom,tblData[Дата],"&lt;="&amp;dTo)/60</f>
        <v>94.5</v>
      </c>
      <c r="E15" s="20">
        <f>IF(C15+D15=0,"",C15/(C15+D15))</f>
        <v>0.8729821637387599</v>
      </c>
      <c r="F15" s="21">
        <f>COUNTIFS(tblData[Цех],$B15,tblData[Смена],critShift,tblData[Цех],critDept,tblData[Дата],"&gt;="&amp;dFrom,tblData[Дата],"&lt;="&amp;dTo)</f>
        <v>93</v>
      </c>
      <c r="G15" s="20">
        <f>IF($D$16=0,0,D15/$D$16)</f>
        <v>0.22780233025311372</v>
      </c>
    </row>
    <row r="16">
      <c r="B16" s="22" t="inlineStr">
        <is>
          <t>Итого</t>
        </is>
      </c>
      <c r="C16" s="23">
        <f>SUM(C12:C15)</f>
        <v>2881.2</v>
      </c>
      <c r="D16" s="23">
        <f>SUM(D12:D15)</f>
        <v>414.8333333333333</v>
      </c>
      <c r="E16" s="24">
        <f>IF(C16+D16=0,"",C16/(C16+D16))</f>
        <v>0.8741416450076354</v>
      </c>
      <c r="F16" s="25">
        <f>SUM(F12:F15)</f>
        <v>412</v>
      </c>
      <c r="G16" s="24">
        <f>IF(D16=0,0,1)</f>
        <v>1</v>
      </c>
    </row>
    <row r="26">
      <c r="B26" s="15" t="inlineStr">
        <is>
          <t>По оборудованию</t>
        </is>
      </c>
      <c r="D26" s="5" t="inlineStr">
        <is>
          <t>нулевые значения показаны как «–»</t>
        </is>
      </c>
    </row>
    <row r="27" ht="30" customHeight="1">
      <c r="B27" s="16" t="inlineStr">
        <is>
          <t>Оборудование</t>
        </is>
      </c>
      <c r="C27" s="17" t="inlineStr">
        <is>
          <t>Работа, ч</t>
        </is>
      </c>
      <c r="D27" s="17" t="inlineStr">
        <is>
          <t>Простой, ч</t>
        </is>
      </c>
      <c r="E27" s="17" t="inlineStr">
        <is>
          <t>Доступность</t>
        </is>
      </c>
      <c r="F27" s="17" t="inlineStr">
        <is>
          <t>Смен</t>
        </is>
      </c>
      <c r="G27" s="17" t="inlineStr">
        <is>
          <t>Доля простоев</t>
        </is>
      </c>
    </row>
    <row r="28">
      <c r="B28" s="18" t="inlineStr">
        <is>
          <t>ASM-01</t>
        </is>
      </c>
      <c r="C28" s="19">
        <f>SUMIFS(tblData[ЧасыРаботы],tblData[Оборудование],$B28,tblData[Смена],critShift,tblData[Цех],critDept,tblData[Дата],"&gt;="&amp;dFrom,tblData[Дата],"&lt;="&amp;dTo)</f>
        <v>331.74</v>
      </c>
      <c r="D28" s="19">
        <f>SUMIFS(tblData[ПростойМин],tblData[Оборудование],$B28,tblData[Смена],critShift,tblData[Цех],critDept,tblData[Дата],"&gt;="&amp;dFrom,tblData[Дата],"&lt;="&amp;dTo)/60</f>
        <v>44.25</v>
      </c>
      <c r="E28" s="20">
        <f>IF(C28+D28=0,"",C28/(C28+D28))</f>
        <v>0.882310699752653</v>
      </c>
      <c r="F28" s="21">
        <f>COUNTIFS(tblData[Оборудование],$B28,tblData[Смена],critShift,tblData[Цех],critDept,tblData[Дата],"&gt;="&amp;dFrom,tblData[Дата],"&lt;="&amp;dTo)</f>
        <v>47</v>
      </c>
      <c r="G28" s="20">
        <f>IF($D$36=0,0,D28/$D$36)</f>
        <v>0.1066693451185215</v>
      </c>
    </row>
    <row r="29">
      <c r="B29" s="18" t="inlineStr">
        <is>
          <t>ASM-02</t>
        </is>
      </c>
      <c r="C29" s="19">
        <f>SUMIFS(tblData[ЧасыРаботы],tblData[Оборудование],$B29,tblData[Смена],critShift,tblData[Цех],critDept,tblData[Дата],"&gt;="&amp;dFrom,tblData[Дата],"&lt;="&amp;dTo)</f>
        <v>320.07</v>
      </c>
      <c r="D29" s="19">
        <f>SUMIFS(tblData[ПростойМин],tblData[Оборудование],$B29,tblData[Смена],critShift,tblData[Цех],critDept,tblData[Дата],"&gt;="&amp;dFrom,tblData[Дата],"&lt;="&amp;dTo)/60</f>
        <v>39.916666666666664</v>
      </c>
      <c r="E29" s="20">
        <f>IF(C29+D29=0,"",C29/(C29+D29))</f>
        <v>0.8891162635653171</v>
      </c>
      <c r="F29" s="21">
        <f>COUNTIFS(tblData[Оборудование],$B29,tblData[Смена],critShift,tblData[Цех],critDept,tblData[Дата],"&gt;="&amp;dFrom,tblData[Дата],"&lt;="&amp;dTo)</f>
        <v>45</v>
      </c>
      <c r="G29" s="20">
        <f>IF($D$36=0,0,D29/$D$36)</f>
        <v>0.09622338288469265</v>
      </c>
    </row>
    <row r="30">
      <c r="B30" s="18" t="inlineStr">
        <is>
          <t>CNC-01</t>
        </is>
      </c>
      <c r="C30" s="19">
        <f>SUMIFS(tblData[ЧасыРаботы],tblData[Оборудование],$B30,tblData[Смена],critShift,tblData[Цех],critDept,tblData[Дата],"&gt;="&amp;dFrom,tblData[Дата],"&lt;="&amp;dTo)</f>
        <v>447.43</v>
      </c>
      <c r="D30" s="19">
        <f>SUMIFS(tblData[ПростойМин],tblData[Оборудование],$B30,tblData[Смена],critShift,tblData[Цех],critDept,tblData[Дата],"&gt;="&amp;dFrom,tblData[Дата],"&lt;="&amp;dTo)/60</f>
        <v>72.58333333333333</v>
      </c>
      <c r="E30" s="20">
        <f>IF(C30+D30=0,"",C30/(C30+D30))</f>
        <v>0.8604202456347273</v>
      </c>
      <c r="F30" s="21">
        <f>COUNTIFS(tblData[Оборудование],$B30,tblData[Смена],critShift,tblData[Цех],critDept,tblData[Дата],"&gt;="&amp;dFrom,tblData[Дата],"&lt;="&amp;dTo)</f>
        <v>65</v>
      </c>
      <c r="G30" s="20">
        <f>IF($D$36=0,0,D30/$D$36)</f>
        <v>0.17496986741663317</v>
      </c>
    </row>
    <row r="31">
      <c r="B31" s="18" t="inlineStr">
        <is>
          <t>CNC-02</t>
        </is>
      </c>
      <c r="C31" s="19">
        <f>SUMIFS(tblData[ЧасыРаботы],tblData[Оборудование],$B31,tblData[Смена],critShift,tblData[Цех],critDept,tblData[Дата],"&gt;="&amp;dFrom,tblData[Дата],"&lt;="&amp;dTo)</f>
        <v>460.45</v>
      </c>
      <c r="D31" s="19">
        <f>SUMIFS(tblData[ПростойМин],tblData[Оборудование],$B31,tblData[Смена],critShift,tblData[Цех],critDept,tblData[Дата],"&gt;="&amp;dFrom,tblData[Дата],"&lt;="&amp;dTo)/60</f>
        <v>91.58333333333333</v>
      </c>
      <c r="E31" s="20">
        <f>IF(C31+D31=0,"",C31/(C31+D31))</f>
        <v>0.8340981824769036</v>
      </c>
      <c r="F31" s="21">
        <f>COUNTIFS(tblData[Оборудование],$B31,tblData[Смена],critShift,tblData[Цех],critDept,tblData[Дата],"&gt;="&amp;dFrom,tblData[Дата],"&lt;="&amp;dTo)</f>
        <v>69</v>
      </c>
      <c r="G31" s="20">
        <f>IF($D$36=0,0,D31/$D$36)</f>
        <v>0.22077139413419045</v>
      </c>
    </row>
    <row r="32">
      <c r="B32" s="18" t="inlineStr">
        <is>
          <t>CNC-03</t>
        </is>
      </c>
      <c r="C32" s="19">
        <f>SUMIFS(tblData[ЧасыРаботы],tblData[Оборудование],$B32,tblData[Смена],critShift,tblData[Цех],critDept,tblData[Дата],"&gt;="&amp;dFrom,tblData[Дата],"&lt;="&amp;dTo)</f>
        <v>482.02</v>
      </c>
      <c r="D32" s="19">
        <f>SUMIFS(tblData[ПростойМин],tblData[Оборудование],$B32,tblData[Смена],critShift,tblData[Цех],critDept,tblData[Дата],"&gt;="&amp;dFrom,tblData[Дата],"&lt;="&amp;dTo)/60</f>
        <v>54</v>
      </c>
      <c r="E32" s="20">
        <f>IF(C32+D32=0,"",C32/(C32+D32))</f>
        <v>0.8992574903921495</v>
      </c>
      <c r="F32" s="21">
        <f>COUNTIFS(tblData[Оборудование],$B32,tblData[Смена],critShift,tblData[Цех],critDept,tblData[Дата],"&gt;="&amp;dFrom,tblData[Дата],"&lt;="&amp;dTo)</f>
        <v>67</v>
      </c>
      <c r="G32" s="20">
        <f>IF($D$36=0,0,D32/$D$36)</f>
        <v>0.1301727601446364</v>
      </c>
    </row>
    <row r="33">
      <c r="B33" s="18" t="inlineStr">
        <is>
          <t>PNT-01</t>
        </is>
      </c>
      <c r="C33" s="19">
        <f>SUMIFS(tblData[ЧасыРаботы],tblData[Оборудование],$B33,tblData[Смена],critShift,tblData[Цех],critDept,tblData[Дата],"&gt;="&amp;dFrom,tblData[Дата],"&lt;="&amp;dTo)</f>
        <v>190</v>
      </c>
      <c r="D33" s="19">
        <f>SUMIFS(tblData[ПростойМин],tblData[Оборудование],$B33,tblData[Смена],critShift,tblData[Цех],critDept,tblData[Дата],"&gt;="&amp;dFrom,tblData[Дата],"&lt;="&amp;dTo)/60</f>
        <v>18</v>
      </c>
      <c r="E33" s="20">
        <f>IF(C33+D33=0,"",C33/(C33+D33))</f>
        <v>0.9134615384615384</v>
      </c>
      <c r="F33" s="21">
        <f>COUNTIFS(tblData[Оборудование],$B33,tblData[Смена],critShift,tblData[Цех],critDept,tblData[Дата],"&gt;="&amp;dFrom,tblData[Дата],"&lt;="&amp;dTo)</f>
        <v>26</v>
      </c>
      <c r="G33" s="20">
        <f>IF($D$36=0,0,D33/$D$36)</f>
        <v>0.043390920048212135</v>
      </c>
    </row>
    <row r="34">
      <c r="B34" s="18" t="inlineStr">
        <is>
          <t>WLD-01</t>
        </is>
      </c>
      <c r="C34" s="19">
        <f>SUMIFS(tblData[ЧасыРаботы],tblData[Оборудование],$B34,tblData[Смена],critShift,tblData[Цех],critDept,tblData[Дата],"&gt;="&amp;dFrom,tblData[Дата],"&lt;="&amp;dTo)</f>
        <v>331.08</v>
      </c>
      <c r="D34" s="19">
        <f>SUMIFS(tblData[ПростойМин],tblData[Оборудование],$B34,tblData[Смена],critShift,tblData[Цех],critDept,tblData[Дата],"&gt;="&amp;dFrom,tblData[Дата],"&lt;="&amp;dTo)/60</f>
        <v>44.916666666666664</v>
      </c>
      <c r="E34" s="20">
        <f>IF(C34+D34=0,"",C34/(C34+D34))</f>
        <v>0.8805397210968182</v>
      </c>
      <c r="F34" s="21">
        <f>COUNTIFS(tblData[Оборудование],$B34,tblData[Смена],critShift,tblData[Цех],critDept,tblData[Дата],"&gt;="&amp;dFrom,tblData[Дата],"&lt;="&amp;dTo)</f>
        <v>47</v>
      </c>
      <c r="G34" s="20">
        <f>IF($D$36=0,0,D34/$D$36)</f>
        <v>0.10827641623141825</v>
      </c>
    </row>
    <row r="35">
      <c r="B35" s="18" t="inlineStr">
        <is>
          <t>WLD-02</t>
        </is>
      </c>
      <c r="C35" s="19">
        <f>SUMIFS(tblData[ЧасыРаботы],tblData[Оборудование],$B35,tblData[Смена],critShift,tblData[Цех],critDept,tblData[Дата],"&gt;="&amp;dFrom,tblData[Дата],"&lt;="&amp;dTo)</f>
        <v>318.41</v>
      </c>
      <c r="D35" s="19">
        <f>SUMIFS(tblData[ПростойМин],tblData[Оборудование],$B35,tblData[Смена],critShift,tblData[Цех],critDept,tblData[Дата],"&gt;="&amp;dFrom,tblData[Дата],"&lt;="&amp;dTo)/60</f>
        <v>49.583333333333336</v>
      </c>
      <c r="E35" s="20">
        <f>IF(C35+D35=0,"",C35/(C35+D35))</f>
        <v>0.8652602402217432</v>
      </c>
      <c r="F35" s="21">
        <f>COUNTIFS(tblData[Оборудование],$B35,tblData[Смена],critShift,tblData[Цех],critDept,tblData[Дата],"&gt;="&amp;dFrom,tblData[Дата],"&lt;="&amp;dTo)</f>
        <v>46</v>
      </c>
      <c r="G35" s="20">
        <f>IF($D$36=0,0,D35/$D$36)</f>
        <v>0.11952591402169548</v>
      </c>
    </row>
    <row r="36">
      <c r="B36" s="22" t="inlineStr">
        <is>
          <t>Итого</t>
        </is>
      </c>
      <c r="C36" s="23">
        <f>SUM(C28:C35)</f>
        <v>2881.2</v>
      </c>
      <c r="D36" s="23">
        <f>SUM(D28:D35)</f>
        <v>414.8333333333333</v>
      </c>
      <c r="E36" s="24">
        <f>IF(C36+D36=0,"",C36/(C36+D36))</f>
        <v>0.8741416450076354</v>
      </c>
      <c r="F36" s="25">
        <f>SUM(F28:F35)</f>
        <v>412</v>
      </c>
      <c r="G36" s="24">
        <f>IF(D36=0,0,1)</f>
        <v>1</v>
      </c>
    </row>
    <row r="42">
      <c r="B42" s="15" t="inlineStr">
        <is>
          <t>По сотрудникам</t>
        </is>
      </c>
      <c r="D42" s="5" t="inlineStr">
        <is>
          <t>нулевые значения показаны как «–»</t>
        </is>
      </c>
    </row>
    <row r="43" ht="30" customHeight="1">
      <c r="B43" s="16" t="inlineStr">
        <is>
          <t>Сотрудник</t>
        </is>
      </c>
      <c r="C43" s="17" t="inlineStr">
        <is>
          <t>Работа, ч</t>
        </is>
      </c>
      <c r="D43" s="17" t="inlineStr">
        <is>
          <t>Простой, ч</t>
        </is>
      </c>
      <c r="E43" s="17" t="inlineStr">
        <is>
          <t>Доступность</t>
        </is>
      </c>
      <c r="F43" s="17" t="inlineStr">
        <is>
          <t>Смен</t>
        </is>
      </c>
      <c r="G43" s="17" t="inlineStr">
        <is>
          <t>Доля простоев</t>
        </is>
      </c>
    </row>
    <row r="44">
      <c r="B44" s="18" t="inlineStr">
        <is>
          <t>Алексеев В.М.</t>
        </is>
      </c>
      <c r="C44" s="19">
        <f>SUMIFS(tblData[ЧасыРаботы],tblData[Сотрудник],$B44,tblData[Смена],critShift,tblData[Цех],critDept,tblData[Дата],"&gt;="&amp;dFrom,tblData[Дата],"&lt;="&amp;dTo)</f>
        <v>143.57</v>
      </c>
      <c r="D44" s="19">
        <f>SUMIFS(tblData[ПростойМин],tblData[Сотрудник],$B44,tblData[Смена],critShift,tblData[Цех],critDept,tblData[Дата],"&gt;="&amp;dFrom,tblData[Дата],"&lt;="&amp;dTo)/60</f>
        <v>24.416666666666668</v>
      </c>
      <c r="E44" s="20">
        <f>IF(C44+D44=0,"",C44/(C44+D44))</f>
        <v>0.8546511627906977</v>
      </c>
      <c r="F44" s="21">
        <f>COUNTIFS(tblData[Сотрудник],$B44,tblData[Смена],critShift,tblData[Цех],critDept,tblData[Дата],"&gt;="&amp;dFrom,tblData[Дата],"&lt;="&amp;dTo)</f>
        <v>21</v>
      </c>
      <c r="G44" s="20">
        <f>IF($D$62=0,0,D44/$D$62)</f>
        <v>0.058858979509843305</v>
      </c>
    </row>
    <row r="45">
      <c r="B45" s="18" t="inlineStr">
        <is>
          <t>Волков О.Л.</t>
        </is>
      </c>
      <c r="C45" s="19">
        <f>SUMIFS(tblData[ЧасыРаботы],tblData[Сотрудник],$B45,tblData[Смена],critShift,tblData[Цех],critDept,tblData[Дата],"&gt;="&amp;dFrom,tblData[Дата],"&lt;="&amp;dTo)</f>
        <v>176.82</v>
      </c>
      <c r="D45" s="19">
        <f>SUMIFS(tblData[ПростойМин],tblData[Сотрудник],$B45,tblData[Смена],critShift,tblData[Цех],critDept,tblData[Дата],"&gt;="&amp;dFrom,tblData[Дата],"&lt;="&amp;dTo)/60</f>
        <v>31.166666666666668</v>
      </c>
      <c r="E45" s="20">
        <f>IF(C45+D45=0,"",C45/(C45+D45))</f>
        <v>0.8501506506827361</v>
      </c>
      <c r="F45" s="21">
        <f>COUNTIFS(tblData[Сотрудник],$B45,tblData[Смена],critShift,tblData[Цех],critDept,tblData[Дата],"&gt;="&amp;dFrom,tblData[Дата],"&lt;="&amp;dTo)</f>
        <v>26</v>
      </c>
      <c r="G45" s="20">
        <f>IF($D$62=0,0,D45/$D$62)</f>
        <v>0.07513057452792285</v>
      </c>
    </row>
    <row r="46">
      <c r="B46" s="18" t="inlineStr">
        <is>
          <t>Иванов Е.Р.</t>
        </is>
      </c>
      <c r="C46" s="19">
        <f>SUMIFS(tblData[ЧасыРаботы],tblData[Сотрудник],$B46,tblData[Смена],critShift,tblData[Цех],critDept,tblData[Дата],"&gt;="&amp;dFrom,tblData[Дата],"&lt;="&amp;dTo)</f>
        <v>141.09</v>
      </c>
      <c r="D46" s="19">
        <f>SUMIFS(tblData[ПростойМин],tblData[Сотрудник],$B46,tblData[Смена],critShift,tblData[Цех],critDept,tblData[Дата],"&gt;="&amp;dFrom,tblData[Дата],"&lt;="&amp;dTo)/60</f>
        <v>18.916666666666668</v>
      </c>
      <c r="E46" s="20">
        <f>IF(C46+D46=0,"",C46/(C46+D46))</f>
        <v>0.8817757593433607</v>
      </c>
      <c r="F46" s="21">
        <f>COUNTIFS(tblData[Сотрудник],$B46,tblData[Смена],critShift,tblData[Цех],critDept,tblData[Дата],"&gt;="&amp;dFrom,tblData[Дата],"&lt;="&amp;dTo)</f>
        <v>20</v>
      </c>
      <c r="G46" s="20">
        <f>IF($D$62=0,0,D46/$D$62)</f>
        <v>0.045600642828445156</v>
      </c>
    </row>
    <row r="47">
      <c r="B47" s="18" t="inlineStr">
        <is>
          <t>Козлов И.Р.</t>
        </is>
      </c>
      <c r="C47" s="19">
        <f>SUMIFS(tblData[ЧасыРаботы],tblData[Сотрудник],$B47,tblData[Смена],critShift,tblData[Цех],critDept,tblData[Дата],"&gt;="&amp;dFrom,tblData[Дата],"&lt;="&amp;dTo)</f>
        <v>145.75</v>
      </c>
      <c r="D47" s="19">
        <f>SUMIFS(tblData[ПростойМин],tblData[Сотрудник],$B47,tblData[Смена],critShift,tblData[Цех],critDept,tblData[Дата],"&gt;="&amp;dFrom,tblData[Дата],"&lt;="&amp;dTo)/60</f>
        <v>22.25</v>
      </c>
      <c r="E47" s="20">
        <f>IF(C47+D47=0,"",C47/(C47+D47))</f>
        <v>0.8675595238095238</v>
      </c>
      <c r="F47" s="21">
        <f>COUNTIFS(tblData[Сотрудник],$B47,tblData[Смена],critShift,tblData[Цех],critDept,tblData[Дата],"&gt;="&amp;dFrom,tblData[Дата],"&lt;="&amp;dTo)</f>
        <v>21</v>
      </c>
      <c r="G47" s="20">
        <f>IF($D$62=0,0,D47/$D$62)</f>
        <v>0.05363599839292888</v>
      </c>
    </row>
    <row r="48">
      <c r="B48" s="18" t="inlineStr">
        <is>
          <t>Кузнецов Б.К.</t>
        </is>
      </c>
      <c r="C48" s="19">
        <f>SUMIFS(tblData[ЧасыРаботы],tblData[Сотрудник],$B48,tblData[Смена],critShift,tblData[Цех],critDept,tblData[Дата],"&gt;="&amp;dFrom,tblData[Дата],"&lt;="&amp;dTo)</f>
        <v>154.92</v>
      </c>
      <c r="D48" s="19">
        <f>SUMIFS(tblData[ПростойМин],tblData[Сотрудник],$B48,tblData[Смена],critShift,tblData[Цех],critDept,tblData[Дата],"&gt;="&amp;dFrom,tblData[Дата],"&lt;="&amp;dTo)/60</f>
        <v>13.083333333333334</v>
      </c>
      <c r="E48" s="20">
        <f>IF(C48+D48=0,"",C48/(C48+D48))</f>
        <v>0.9221245610206146</v>
      </c>
      <c r="F48" s="21">
        <f>COUNTIFS(tblData[Сотрудник],$B48,tblData[Смена],critShift,tblData[Цех],critDept,tblData[Дата],"&gt;="&amp;dFrom,tblData[Дата],"&lt;="&amp;dTo)</f>
        <v>21</v>
      </c>
      <c r="G48" s="20">
        <f>IF($D$62=0,0,D48/$D$62)</f>
        <v>0.03153877059059863</v>
      </c>
    </row>
    <row r="49">
      <c r="B49" s="18" t="inlineStr">
        <is>
          <t>Кузнецов П.Г.</t>
        </is>
      </c>
      <c r="C49" s="19">
        <f>SUMIFS(tblData[ЧасыРаботы],tblData[Сотрудник],$B49,tblData[Смена],critShift,tblData[Цех],critDept,tblData[Дата],"&gt;="&amp;dFrom,tblData[Дата],"&lt;="&amp;dTo)</f>
        <v>176.09</v>
      </c>
      <c r="D49" s="19">
        <f>SUMIFS(tblData[ПростойМин],tblData[Сотрудник],$B49,tblData[Смена],critShift,tblData[Цех],critDept,tblData[Дата],"&gt;="&amp;dFrom,tblData[Дата],"&lt;="&amp;dTo)/60</f>
        <v>23.916666666666668</v>
      </c>
      <c r="E49" s="20">
        <f>IF(C49+D49=0,"",C49/(C49+D49))</f>
        <v>0.8804206526449119</v>
      </c>
      <c r="F49" s="21">
        <f>COUNTIFS(tblData[Сотрудник],$B49,tblData[Смена],critShift,tblData[Цех],critDept,tblData[Дата],"&gt;="&amp;dFrom,tblData[Дата],"&lt;="&amp;dTo)</f>
        <v>25</v>
      </c>
      <c r="G49" s="20">
        <f>IF($D$62=0,0,D49/$D$62)</f>
        <v>0.05765367617517075</v>
      </c>
    </row>
    <row r="50">
      <c r="B50" s="18" t="inlineStr">
        <is>
          <t>Михайлов К.Д.</t>
        </is>
      </c>
      <c r="C50" s="19">
        <f>SUMIFS(tblData[ЧасыРаботы],tblData[Сотрудник],$B50,tblData[Смена],critShift,tblData[Цех],critDept,tblData[Дата],"&gt;="&amp;dFrom,tblData[Дата],"&lt;="&amp;dTo)</f>
        <v>165.85</v>
      </c>
      <c r="D50" s="19">
        <f>SUMIFS(tblData[ПростойМин],tblData[Сотрудник],$B50,tblData[Смена],critShift,tblData[Цех],critDept,tblData[Дата],"&gt;="&amp;dFrom,tblData[Дата],"&lt;="&amp;dTo)/60</f>
        <v>26.166666666666668</v>
      </c>
      <c r="E50" s="20">
        <f>IF(C50+D50=0,"",C50/(C50+D50))</f>
        <v>0.86372710702196</v>
      </c>
      <c r="F50" s="21">
        <f>COUNTIFS(tblData[Сотрудник],$B50,tblData[Смена],critShift,tblData[Цех],critDept,tblData[Дата],"&gt;="&amp;dFrom,tblData[Дата],"&lt;="&amp;dTo)</f>
        <v>24</v>
      </c>
      <c r="G50" s="20">
        <f>IF($D$62=0,0,D50/$D$62)</f>
        <v>0.06307754118119727</v>
      </c>
    </row>
    <row r="51">
      <c r="B51" s="18" t="inlineStr">
        <is>
          <t>Михайлов С.Л.</t>
        </is>
      </c>
      <c r="C51" s="19">
        <f>SUMIFS(tblData[ЧасыРаботы],tblData[Сотрудник],$B51,tblData[Смена],critShift,tblData[Цех],critDept,tblData[Дата],"&gt;="&amp;dFrom,tblData[Дата],"&lt;="&amp;dTo)</f>
        <v>151.27</v>
      </c>
      <c r="D51" s="19">
        <f>SUMIFS(tblData[ПростойМин],tblData[Сотрудник],$B51,tblData[Смена],critShift,tblData[Цех],critDept,tblData[Дата],"&gt;="&amp;dFrom,tblData[Дата],"&lt;="&amp;dTo)/60</f>
        <v>24.75</v>
      </c>
      <c r="E51" s="20">
        <f>IF(C51+D51=0,"",C51/(C51+D51))</f>
        <v>0.8593909782979207</v>
      </c>
      <c r="F51" s="21">
        <f>COUNTIFS(tblData[Сотрудник],$B51,tblData[Смена],critShift,tblData[Цех],critDept,tblData[Дата],"&gt;="&amp;dFrom,tblData[Дата],"&lt;="&amp;dTo)</f>
        <v>22</v>
      </c>
      <c r="G51" s="20">
        <f>IF($D$62=0,0,D51/$D$62)</f>
        <v>0.05966251506629168</v>
      </c>
    </row>
    <row r="52">
      <c r="B52" s="18" t="inlineStr">
        <is>
          <t>Морозов Л.Д.</t>
        </is>
      </c>
      <c r="C52" s="19">
        <f>SUMIFS(tblData[ЧасыРаботы],tblData[Сотрудник],$B52,tblData[Смена],critShift,tblData[Цех],critDept,tblData[Дата],"&gt;="&amp;dFrom,tblData[Дата],"&lt;="&amp;dTo)</f>
        <v>164.51</v>
      </c>
      <c r="D52" s="19">
        <f>SUMIFS(tblData[ПростойМин],tblData[Сотрудник],$B52,tblData[Смена],critShift,tblData[Цех],critDept,tblData[Дата],"&gt;="&amp;dFrom,tblData[Дата],"&lt;="&amp;dTo)/60</f>
        <v>35.5</v>
      </c>
      <c r="E52" s="20">
        <f>IF(C52+D52=0,"",C52/(C52+D52))</f>
        <v>0.8225088745562722</v>
      </c>
      <c r="F52" s="21">
        <f>COUNTIFS(tblData[Сотрудник],$B52,tblData[Смена],critShift,tblData[Цех],critDept,tblData[Дата],"&gt;="&amp;dFrom,tblData[Дата],"&lt;="&amp;dTo)</f>
        <v>25</v>
      </c>
      <c r="G52" s="20">
        <f>IF($D$62=0,0,D52/$D$62)</f>
        <v>0.0855765367617517</v>
      </c>
    </row>
    <row r="53">
      <c r="B53" s="18" t="inlineStr">
        <is>
          <t>Николаев О.И.</t>
        </is>
      </c>
      <c r="C53" s="19">
        <f>SUMIFS(tblData[ЧасыРаботы],tblData[Сотрудник],$B53,tblData[Смена],critShift,tblData[Цех],critDept,tblData[Дата],"&gt;="&amp;dFrom,tblData[Дата],"&lt;="&amp;dTo)</f>
        <v>187.18</v>
      </c>
      <c r="D53" s="19">
        <f>SUMIFS(tblData[ПростойМин],tblData[Сотрудник],$B53,tblData[Смена],critShift,tblData[Цех],critDept,tblData[Дата],"&gt;="&amp;dFrom,tblData[Дата],"&lt;="&amp;dTo)/60</f>
        <v>12.833333333333334</v>
      </c>
      <c r="E53" s="20">
        <f>IF(C53+D53=0,"",C53/(C53+D53))</f>
        <v>0.9358376108259449</v>
      </c>
      <c r="F53" s="21">
        <f>COUNTIFS(tblData[Сотрудник],$B53,tblData[Смена],critShift,tblData[Цех],critDept,tblData[Дата],"&gt;="&amp;dFrom,tblData[Дата],"&lt;="&amp;dTo)</f>
        <v>25</v>
      </c>
      <c r="G53" s="20">
        <f>IF($D$62=0,0,D53/$D$62)</f>
        <v>0.030936118923262354</v>
      </c>
    </row>
    <row r="54">
      <c r="B54" s="18" t="inlineStr">
        <is>
          <t>Попов А.Л.</t>
        </is>
      </c>
      <c r="C54" s="19">
        <f>SUMIFS(tblData[ЧасыРаботы],tblData[Сотрудник],$B54,tblData[Смена],critShift,tblData[Цех],critDept,tblData[Дата],"&gt;="&amp;dFrom,tblData[Дата],"&lt;="&amp;dTo)</f>
        <v>174.32</v>
      </c>
      <c r="D54" s="19">
        <f>SUMIFS(tblData[ПростойМин],tblData[Сотрудник],$B54,tblData[Смена],critShift,tblData[Цех],critDept,tblData[Дата],"&gt;="&amp;dFrom,tblData[Дата],"&lt;="&amp;dTo)/60</f>
        <v>17.666666666666668</v>
      </c>
      <c r="E54" s="20">
        <f>IF(C54+D54=0,"",C54/(C54+D54))</f>
        <v>0.9079797208139454</v>
      </c>
      <c r="F54" s="21">
        <f>COUNTIFS(tblData[Сотрудник],$B54,tblData[Смена],critShift,tblData[Цех],critDept,tblData[Дата],"&gt;="&amp;dFrom,tblData[Дата],"&lt;="&amp;dTo)</f>
        <v>24</v>
      </c>
      <c r="G54" s="20">
        <f>IF($D$62=0,0,D54/$D$62)</f>
        <v>0.04258738449176376</v>
      </c>
    </row>
    <row r="55">
      <c r="B55" s="18" t="inlineStr">
        <is>
          <t>Попов В.Р.</t>
        </is>
      </c>
      <c r="C55" s="19">
        <f>SUMIFS(tblData[ЧасыРаботы],tblData[Сотрудник],$B55,tblData[Смена],critShift,tblData[Цех],critDept,tblData[Дата],"&gt;="&amp;dFrom,tblData[Дата],"&lt;="&amp;dTo)</f>
        <v>142.32</v>
      </c>
      <c r="D55" s="19">
        <f>SUMIFS(tblData[ПростойМин],tblData[Сотрудник],$B55,tblData[Смена],critShift,tblData[Цех],critDept,tblData[Дата],"&gt;="&amp;dFrom,tblData[Дата],"&lt;="&amp;dTo)/60</f>
        <v>25.666666666666668</v>
      </c>
      <c r="E55" s="20">
        <f>IF(C55+D55=0,"",C55/(C55+D55))</f>
        <v>0.8472100960393683</v>
      </c>
      <c r="F55" s="21">
        <f>COUNTIFS(tblData[Сотрудник],$B55,tblData[Смена],critShift,tblData[Цех],critDept,tblData[Дата],"&gt;="&amp;dFrom,tblData[Дата],"&lt;="&amp;dTo)</f>
        <v>21</v>
      </c>
      <c r="G55" s="20">
        <f>IF($D$62=0,0,D55/$D$62)</f>
        <v>0.06187223784652471</v>
      </c>
    </row>
    <row r="56">
      <c r="B56" s="18" t="inlineStr">
        <is>
          <t>Попов П.Л.</t>
        </is>
      </c>
      <c r="C56" s="19">
        <f>SUMIFS(tblData[ЧасыРаботы],tblData[Сотрудник],$B56,tblData[Смена],critShift,tblData[Цех],critDept,tblData[Дата],"&gt;="&amp;dFrom,tblData[Дата],"&lt;="&amp;dTo)</f>
        <v>153.75</v>
      </c>
      <c r="D56" s="19">
        <f>SUMIFS(tblData[ПростойМин],tblData[Сотрудник],$B56,tblData[Смена],critShift,tblData[Цех],critDept,tblData[Дата],"&gt;="&amp;dFrom,tblData[Дата],"&lt;="&amp;dTo)/60</f>
        <v>22.25</v>
      </c>
      <c r="E56" s="20">
        <f>IF(C56+D56=0,"",C56/(C56+D56))</f>
        <v>0.8735795454545454</v>
      </c>
      <c r="F56" s="21">
        <f>COUNTIFS(tblData[Сотрудник],$B56,tblData[Смена],critShift,tblData[Цех],critDept,tblData[Дата],"&gt;="&amp;dFrom,tblData[Дата],"&lt;="&amp;dTo)</f>
        <v>22</v>
      </c>
      <c r="G56" s="20">
        <f>IF($D$62=0,0,D56/$D$62)</f>
        <v>0.05363599839292888</v>
      </c>
    </row>
    <row r="57">
      <c r="B57" s="18" t="inlineStr">
        <is>
          <t>Смирнов А.В.</t>
        </is>
      </c>
      <c r="C57" s="19">
        <f>SUMIFS(tblData[ЧасыРаботы],tblData[Сотрудник],$B57,tblData[Смена],critShift,tblData[Цех],critDept,tblData[Дата],"&gt;="&amp;dFrom,tblData[Дата],"&lt;="&amp;dTo)</f>
        <v>144.67</v>
      </c>
      <c r="D57" s="19">
        <f>SUMIFS(tblData[ПростойМин],tblData[Сотрудник],$B57,tblData[Смена],critShift,tblData[Цех],critDept,tblData[Дата],"&gt;="&amp;dFrom,tblData[Дата],"&lt;="&amp;dTo)/60</f>
        <v>31.333333333333332</v>
      </c>
      <c r="E57" s="20">
        <f>IF(C57+D57=0,"",C57/(C57+D57))</f>
        <v>0.8219730686918808</v>
      </c>
      <c r="F57" s="21">
        <f>COUNTIFS(tblData[Сотрудник],$B57,tblData[Смена],critShift,tblData[Цех],critDept,tblData[Дата],"&gt;="&amp;dFrom,tblData[Дата],"&lt;="&amp;dTo)</f>
        <v>22</v>
      </c>
      <c r="G57" s="20">
        <f>IF($D$62=0,0,D57/$D$62)</f>
        <v>0.07553234230614704</v>
      </c>
    </row>
    <row r="58">
      <c r="B58" s="18" t="inlineStr">
        <is>
          <t>Смирнов С.Г.</t>
        </is>
      </c>
      <c r="C58" s="19">
        <f>SUMIFS(tblData[ЧасыРаботы],tblData[Сотрудник],$B58,tblData[Смена],critShift,tblData[Цех],critDept,tblData[Дата],"&gt;="&amp;dFrom,tblData[Дата],"&lt;="&amp;dTo)</f>
        <v>190</v>
      </c>
      <c r="D58" s="19">
        <f>SUMIFS(tblData[ПростойМин],tblData[Сотрудник],$B58,tblData[Смена],critShift,tblData[Цех],critDept,tblData[Дата],"&gt;="&amp;dFrom,tblData[Дата],"&lt;="&amp;dTo)/60</f>
        <v>18</v>
      </c>
      <c r="E58" s="20">
        <f>IF(C58+D58=0,"",C58/(C58+D58))</f>
        <v>0.9134615384615384</v>
      </c>
      <c r="F58" s="21">
        <f>COUNTIFS(tblData[Сотрудник],$B58,tblData[Смена],critShift,tblData[Цех],critDept,tblData[Дата],"&gt;="&amp;dFrom,tblData[Дата],"&lt;="&amp;dTo)</f>
        <v>26</v>
      </c>
      <c r="G58" s="20">
        <f>IF($D$62=0,0,D58/$D$62)</f>
        <v>0.04339092004821213</v>
      </c>
    </row>
    <row r="59">
      <c r="B59" s="18" t="inlineStr">
        <is>
          <t>Соколов К.А.</t>
        </is>
      </c>
      <c r="C59" s="19">
        <f>SUMIFS(tblData[ЧасыРаботы],tblData[Сотрудник],$B59,tblData[Смена],critShift,tblData[Цех],critDept,tblData[Дата],"&gt;="&amp;dFrom,tblData[Дата],"&lt;="&amp;dTo)</f>
        <v>158.58</v>
      </c>
      <c r="D59" s="19">
        <f>SUMIFS(tblData[ПростойМин],tblData[Сотрудник],$B59,tblData[Смена],critShift,tblData[Цех],critDept,tblData[Дата],"&gt;="&amp;dFrom,tblData[Дата],"&lt;="&amp;dTo)/60</f>
        <v>17.416666666666668</v>
      </c>
      <c r="E59" s="20">
        <f>IF(C59+D59=0,"",C59/(C59+D59))</f>
        <v>0.9010397924203111</v>
      </c>
      <c r="F59" s="21">
        <f>COUNTIFS(tblData[Сотрудник],$B59,tblData[Смена],critShift,tblData[Цех],critDept,tblData[Дата],"&gt;="&amp;dFrom,tblData[Дата],"&lt;="&amp;dTo)</f>
        <v>22</v>
      </c>
      <c r="G59" s="20">
        <f>IF($D$62=0,0,D59/$D$62)</f>
        <v>0.04198473282442748</v>
      </c>
    </row>
    <row r="60">
      <c r="B60" s="18" t="inlineStr">
        <is>
          <t>Соколов Н.Г.</t>
        </is>
      </c>
      <c r="C60" s="19">
        <f>SUMIFS(tblData[ЧасыРаботы],tblData[Сотрудник],$B60,tblData[Смена],critShift,tblData[Цех],critDept,tblData[Дата],"&gt;="&amp;dFrom,tblData[Дата],"&lt;="&amp;dTo)</f>
        <v>138.01</v>
      </c>
      <c r="D60" s="19">
        <f>SUMIFS(tblData[ПростойМин],tblData[Сотрудник],$B60,tblData[Смена],critShift,tblData[Цех],critDept,tblData[Дата],"&gt;="&amp;dFrom,tblData[Дата],"&lt;="&amp;dTo)/60</f>
        <v>22</v>
      </c>
      <c r="E60" s="20">
        <f>IF(C60+D60=0,"",C60/(C60+D60))</f>
        <v>0.8625085932129242</v>
      </c>
      <c r="F60" s="21">
        <f>COUNTIFS(tblData[Сотрудник],$B60,tblData[Смена],critShift,tblData[Цех],critDept,tblData[Дата],"&gt;="&amp;dFrom,tblData[Дата],"&lt;="&amp;dTo)</f>
        <v>20</v>
      </c>
      <c r="G60" s="20">
        <f>IF($D$62=0,0,D60/$D$62)</f>
        <v>0.0530333467255926</v>
      </c>
    </row>
    <row r="61">
      <c r="B61" s="18" t="inlineStr">
        <is>
          <t>Фёдоров В.К.</t>
        </is>
      </c>
      <c r="C61" s="19">
        <f>SUMIFS(tblData[ЧасыРаботы],tblData[Сотрудник],$B61,tblData[Смена],critShift,tblData[Цех],critDept,tblData[Дата],"&gt;="&amp;dFrom,tblData[Дата],"&lt;="&amp;dTo)</f>
        <v>172.5</v>
      </c>
      <c r="D61" s="19">
        <f>SUMIFS(tblData[ПростойМин],tblData[Сотрудник],$B61,tblData[Смена],critShift,tblData[Цех],critDept,tblData[Дата],"&gt;="&amp;dFrom,tblData[Дата],"&lt;="&amp;dTo)/60</f>
        <v>27.5</v>
      </c>
      <c r="E61" s="20">
        <f>IF(C61+D61=0,"",C61/(C61+D61))</f>
        <v>0.8625</v>
      </c>
      <c r="F61" s="21">
        <f>COUNTIFS(tblData[Сотрудник],$B61,tblData[Смена],critShift,tblData[Цех],critDept,tblData[Дата],"&gt;="&amp;dFrom,tblData[Дата],"&lt;="&amp;dTo)</f>
        <v>25</v>
      </c>
      <c r="G61" s="20">
        <f>IF($D$62=0,0,D61/$D$62)</f>
        <v>0.06629168340699075</v>
      </c>
    </row>
    <row r="62">
      <c r="B62" s="22" t="inlineStr">
        <is>
          <t>Итого</t>
        </is>
      </c>
      <c r="C62" s="23">
        <f>SUM(C44:C61)</f>
        <v>2881.2</v>
      </c>
      <c r="D62" s="23">
        <f>SUM(D44:D61)</f>
        <v>414.83333333333337</v>
      </c>
      <c r="E62" s="24">
        <f>IF(C62+D62=0,"",C62/(C62+D62))</f>
        <v>0.8741416450076354</v>
      </c>
      <c r="F62" s="25">
        <f>SUM(F44:F61)</f>
        <v>412</v>
      </c>
      <c r="G62" s="24">
        <f>IF(D62=0,0,1)</f>
        <v>1</v>
      </c>
    </row>
  </sheetData>
  <mergeCells count="6">
    <mergeCell ref="J6:L7"/>
    <mergeCell ref="D6:E7"/>
    <mergeCell ref="B6:C7"/>
    <mergeCell ref="F6:G7"/>
    <mergeCell ref="M6:O7"/>
    <mergeCell ref="P6:R7"/>
  </mergeCells>
  <conditionalFormatting sqref="F6:F8">
    <cfRule type="expression" priority="1" dxfId="0">
      <formula>AND(ISNUMBER($F$6),$F$6&gt;=tgtAvail)</formula>
    </cfRule>
    <cfRule type="expression" priority="2" dxfId="1">
      <formula>AND(ISNUMBER($F$6),$F$6&lt;tgtAvail)</formula>
    </cfRule>
  </conditionalFormatting>
  <conditionalFormatting sqref="E12:E15">
    <cfRule type="expression" priority="3" dxfId="2">
      <formula>AND(ISNUMBER(E12),E12&lt;tgtAvail)</formula>
    </cfRule>
  </conditionalFormatting>
  <conditionalFormatting sqref="E28:E35">
    <cfRule type="expression" priority="4" dxfId="2">
      <formula>AND(ISNUMBER(E28),E28&lt;tgtAvail)</formula>
    </cfRule>
  </conditionalFormatting>
  <conditionalFormatting sqref="E44:E61">
    <cfRule type="expression" priority="5" dxfId="2">
      <formula>AND(ISNUMBER(E44),E44&lt;tgtAvail)</formula>
    </cfRule>
  </conditionalFormatting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R57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14" customWidth="1" min="9" max="9"/>
    <col width="14" customWidth="1" min="10" max="10"/>
  </cols>
  <sheetData>
    <row r="1" ht="30" customHeight="1">
      <c r="B1" s="1" t="inlineStr">
        <is>
          <t>Анализ простоев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B2" s="3" t="inlineStr">
        <is>
          <t>Демо-проект · Demo project — компания, люди и цифры вымышлены</t>
        </is>
      </c>
    </row>
    <row r="3">
      <c r="B3" s="4" t="str">
        <f>filterCaption</f>
        <v>Смена: Все   ·   Цех: Все   ·   Период: 01.09.2026 – 30.09.2026</v>
      </c>
    </row>
    <row r="5">
      <c r="B5" s="15" t="inlineStr">
        <is>
          <t>Часы простоя по оборудованию</t>
        </is>
      </c>
      <c r="D5" s="5" t="inlineStr">
        <is>
          <t>нулевые значения показаны как «–»</t>
        </is>
      </c>
    </row>
    <row r="6" ht="30" customHeight="1">
      <c r="B6" s="16" t="inlineStr">
        <is>
          <t>Оборудование</t>
        </is>
      </c>
      <c r="C6" s="17" t="inlineStr">
        <is>
          <t>Цех</t>
        </is>
      </c>
      <c r="D6" s="17" t="inlineStr">
        <is>
          <t>Простой, ч</t>
        </is>
      </c>
      <c r="E6" s="17" t="inlineStr">
        <is>
          <t>Случаев</t>
        </is>
      </c>
      <c r="F6" s="17" t="inlineStr">
        <is>
          <t>Средний простой, мин</t>
        </is>
      </c>
      <c r="G6" s="17" t="inlineStr">
        <is>
          <t>Доля простоев</t>
        </is>
      </c>
      <c r="H6" s="17" t="inlineStr">
        <is>
          <t>Главная причина</t>
        </is>
      </c>
    </row>
    <row r="7">
      <c r="B7" s="18" t="inlineStr">
        <is>
          <t>ASM-01</t>
        </is>
      </c>
      <c r="C7" s="26" t="inlineStr">
        <is>
          <t>Сборка</t>
        </is>
      </c>
      <c r="D7" s="19">
        <f>SUMIFS(tblData[ПростойМин],tblData[Оборудование],$B7,tblData[Смена],critShift,tblData[Цех],critDept,tblData[Дата],"&gt;="&amp;dFrom,tblData[Дата],"&lt;="&amp;dTo)/60</f>
        <v>44.25</v>
      </c>
      <c r="E7" s="21">
        <f>COUNTIFS(tblData[Оборудование],$B7,tblData[ПростойМин],"&gt;0",tblData[Смена],critShift,tblData[Цех],critDept,tblData[Дата],"&gt;="&amp;dFrom,tblData[Дата],"&lt;="&amp;dTo)</f>
        <v>29</v>
      </c>
      <c r="F7" s="21">
        <f>IF(E7=0,"",D7*60/E7)</f>
        <v>91.55172413793103</v>
      </c>
      <c r="G7" s="20">
        <f>IF($D$15=0,0,D7/$D$15)</f>
        <v>0.1066693451185215</v>
      </c>
      <c r="H7" s="18" t="str">
        <f>IF(MAX($C$49:$I$49)&lt;=0,"–",INDEX($C$48:$I$48,1,MATCH(MAX($C$49:$I$49),$C$49:$I$49,0)))</f>
        <v>Нет материала</v>
      </c>
    </row>
    <row r="8">
      <c r="B8" s="18" t="inlineStr">
        <is>
          <t>ASM-02</t>
        </is>
      </c>
      <c r="C8" s="26" t="inlineStr">
        <is>
          <t>Сборка</t>
        </is>
      </c>
      <c r="D8" s="19">
        <f>SUMIFS(tblData[ПростойМин],tblData[Оборудование],$B8,tblData[Смена],critShift,tblData[Цех],critDept,tblData[Дата],"&gt;="&amp;dFrom,tblData[Дата],"&lt;="&amp;dTo)/60</f>
        <v>39.916666666666664</v>
      </c>
      <c r="E8" s="21">
        <f>COUNTIFS(tblData[Оборудование],$B8,tblData[ПростойМин],"&gt;0",tblData[Смена],critShift,tblData[Цех],critDept,tblData[Дата],"&gt;="&amp;dFrom,tblData[Дата],"&lt;="&amp;dTo)</f>
        <v>24</v>
      </c>
      <c r="F8" s="21">
        <f>IF(E8=0,"",D8*60/E8)</f>
        <v>99.79166666666667</v>
      </c>
      <c r="G8" s="20">
        <f>IF($D$15=0,0,D8/$D$15)</f>
        <v>0.09622338288469265</v>
      </c>
      <c r="H8" s="18" t="str">
        <f>IF(MAX($C$50:$I$50)&lt;=0,"–",INDEX($C$48:$I$48,1,MATCH(MAX($C$50:$I$50),$C$50:$I$50,0)))</f>
        <v>Переналадка</v>
      </c>
    </row>
    <row r="9">
      <c r="B9" s="18" t="inlineStr">
        <is>
          <t>CNC-01</t>
        </is>
      </c>
      <c r="C9" s="26" t="inlineStr">
        <is>
          <t>Мехобработка</t>
        </is>
      </c>
      <c r="D9" s="19">
        <f>SUMIFS(tblData[ПростойМин],tblData[Оборудование],$B9,tblData[Смена],critShift,tblData[Цех],critDept,tblData[Дата],"&gt;="&amp;dFrom,tblData[Дата],"&lt;="&amp;dTo)/60</f>
        <v>72.58333333333333</v>
      </c>
      <c r="E9" s="21">
        <f>COUNTIFS(tblData[Оборудование],$B9,tblData[ПростойМин],"&gt;0",tblData[Смена],critShift,tblData[Цех],critDept,tblData[Дата],"&gt;="&amp;dFrom,tblData[Дата],"&lt;="&amp;dTo)</f>
        <v>45</v>
      </c>
      <c r="F9" s="21">
        <f>IF(E9=0,"",D9*60/E9)</f>
        <v>96.77777777777777</v>
      </c>
      <c r="G9" s="20">
        <f>IF($D$15=0,0,D9/$D$15)</f>
        <v>0.17496986741663317</v>
      </c>
      <c r="H9" s="18" t="str">
        <f>IF(MAX($C$51:$I$51)&lt;=0,"–",INDEX($C$48:$I$48,1,MATCH(MAX($C$51:$I$51),$C$51:$I$51,0)))</f>
        <v>Переналадка</v>
      </c>
    </row>
    <row r="10">
      <c r="B10" s="18" t="inlineStr">
        <is>
          <t>CNC-02</t>
        </is>
      </c>
      <c r="C10" s="26" t="inlineStr">
        <is>
          <t>Мехобработка</t>
        </is>
      </c>
      <c r="D10" s="19">
        <f>SUMIFS(tblData[ПростойМин],tblData[Оборудование],$B10,tblData[Смена],critShift,tblData[Цех],critDept,tblData[Дата],"&gt;="&amp;dFrom,tblData[Дата],"&lt;="&amp;dTo)/60</f>
        <v>91.58333333333333</v>
      </c>
      <c r="E10" s="21">
        <f>COUNTIFS(tblData[Оборудование],$B10,tblData[ПростойМин],"&gt;0",tblData[Смена],critShift,tblData[Цех],critDept,tblData[Дата],"&gt;="&amp;dFrom,tblData[Дата],"&lt;="&amp;dTo)</f>
        <v>56</v>
      </c>
      <c r="F10" s="21">
        <f>IF(E10=0,"",D10*60/E10)</f>
        <v>98.125</v>
      </c>
      <c r="G10" s="20">
        <f>IF($D$15=0,0,D10/$D$15)</f>
        <v>0.22077139413419045</v>
      </c>
      <c r="H10" s="18" t="str">
        <f>IF(MAX($C$52:$I$52)&lt;=0,"–",INDEX($C$48:$I$48,1,MATCH(MAX($C$52:$I$52),$C$52:$I$52,0)))</f>
        <v>Поломка</v>
      </c>
    </row>
    <row r="11">
      <c r="B11" s="18" t="inlineStr">
        <is>
          <t>CNC-03</t>
        </is>
      </c>
      <c r="C11" s="26" t="inlineStr">
        <is>
          <t>Мехобработка</t>
        </is>
      </c>
      <c r="D11" s="19">
        <f>SUMIFS(tblData[ПростойМин],tblData[Оборудование],$B11,tblData[Смена],critShift,tblData[Цех],critDept,tblData[Дата],"&gt;="&amp;dFrom,tblData[Дата],"&lt;="&amp;dTo)/60</f>
        <v>54</v>
      </c>
      <c r="E11" s="21">
        <f>COUNTIFS(tblData[Оборудование],$B11,tblData[ПростойМин],"&gt;0",tblData[Смена],critShift,tblData[Цех],critDept,tblData[Дата],"&gt;="&amp;dFrom,tblData[Дата],"&lt;="&amp;dTo)</f>
        <v>30</v>
      </c>
      <c r="F11" s="21">
        <f>IF(E11=0,"",D11*60/E11)</f>
        <v>108</v>
      </c>
      <c r="G11" s="20">
        <f>IF($D$15=0,0,D11/$D$15)</f>
        <v>0.1301727601446364</v>
      </c>
      <c r="H11" s="18" t="str">
        <f>IF(MAX($C$53:$I$53)&lt;=0,"–",INDEX($C$48:$I$48,1,MATCH(MAX($C$53:$I$53),$C$53:$I$53,0)))</f>
        <v>Поломка</v>
      </c>
    </row>
    <row r="12">
      <c r="B12" s="18" t="inlineStr">
        <is>
          <t>PNT-01</t>
        </is>
      </c>
      <c r="C12" s="26" t="inlineStr">
        <is>
          <t>Покраска</t>
        </is>
      </c>
      <c r="D12" s="19">
        <f>SUMIFS(tblData[ПростойМин],tblData[Оборудование],$B12,tblData[Смена],critShift,tblData[Цех],critDept,tblData[Дата],"&gt;="&amp;dFrom,tblData[Дата],"&lt;="&amp;dTo)/60</f>
        <v>18</v>
      </c>
      <c r="E12" s="21">
        <f>COUNTIFS(tblData[Оборудование],$B12,tblData[ПростойМин],"&gt;0",tblData[Смена],critShift,tblData[Цех],critDept,tblData[Дата],"&gt;="&amp;dFrom,tblData[Дата],"&lt;="&amp;dTo)</f>
        <v>15</v>
      </c>
      <c r="F12" s="21">
        <f>IF(E12=0,"",D12*60/E12)</f>
        <v>72</v>
      </c>
      <c r="G12" s="20">
        <f>IF($D$15=0,0,D12/$D$15)</f>
        <v>0.043390920048212135</v>
      </c>
      <c r="H12" s="18" t="str">
        <f>IF(MAX($C$54:$I$54)&lt;=0,"–",INDEX($C$48:$I$48,1,MATCH(MAX($C$54:$I$54),$C$54:$I$54,0)))</f>
        <v>Переналадка</v>
      </c>
    </row>
    <row r="13">
      <c r="B13" s="18" t="inlineStr">
        <is>
          <t>WLD-01</t>
        </is>
      </c>
      <c r="C13" s="26" t="inlineStr">
        <is>
          <t>Сварка</t>
        </is>
      </c>
      <c r="D13" s="19">
        <f>SUMIFS(tblData[ПростойМин],tblData[Оборудование],$B13,tblData[Смена],critShift,tblData[Цех],critDept,tblData[Дата],"&gt;="&amp;dFrom,tblData[Дата],"&lt;="&amp;dTo)/60</f>
        <v>44.916666666666664</v>
      </c>
      <c r="E13" s="21">
        <f>COUNTIFS(tblData[Оборудование],$B13,tblData[ПростойМин],"&gt;0",tblData[Смена],critShift,tblData[Цех],critDept,tblData[Дата],"&gt;="&amp;dFrom,tblData[Дата],"&lt;="&amp;dTo)</f>
        <v>28</v>
      </c>
      <c r="F13" s="21">
        <f>IF(E13=0,"",D13*60/E13)</f>
        <v>96.25</v>
      </c>
      <c r="G13" s="20">
        <f>IF($D$15=0,0,D13/$D$15)</f>
        <v>0.10827641623141825</v>
      </c>
      <c r="H13" s="18" t="str">
        <f>IF(MAX($C$55:$I$55)&lt;=0,"–",INDEX($C$48:$I$48,1,MATCH(MAX($C$55:$I$55),$C$55:$I$55,0)))</f>
        <v>Поломка</v>
      </c>
    </row>
    <row r="14">
      <c r="B14" s="18" t="inlineStr">
        <is>
          <t>WLD-02</t>
        </is>
      </c>
      <c r="C14" s="26" t="inlineStr">
        <is>
          <t>Сварка</t>
        </is>
      </c>
      <c r="D14" s="19">
        <f>SUMIFS(tblData[ПростойМин],tblData[Оборудование],$B14,tblData[Смена],critShift,tblData[Цех],critDept,tblData[Дата],"&gt;="&amp;dFrom,tblData[Дата],"&lt;="&amp;dTo)/60</f>
        <v>49.583333333333336</v>
      </c>
      <c r="E14" s="21">
        <f>COUNTIFS(tblData[Оборудование],$B14,tblData[ПростойМин],"&gt;0",tblData[Смена],critShift,tblData[Цех],critDept,tblData[Дата],"&gt;="&amp;dFrom,tblData[Дата],"&lt;="&amp;dTo)</f>
        <v>29</v>
      </c>
      <c r="F14" s="21">
        <f>IF(E14=0,"",D14*60/E14)</f>
        <v>102.58620689655173</v>
      </c>
      <c r="G14" s="20">
        <f>IF($D$15=0,0,D14/$D$15)</f>
        <v>0.11952591402169548</v>
      </c>
      <c r="H14" s="18" t="str">
        <f>IF(MAX($C$56:$I$56)&lt;=0,"–",INDEX($C$48:$I$48,1,MATCH(MAX($C$56:$I$56),$C$56:$I$56,0)))</f>
        <v>Поломка</v>
      </c>
    </row>
    <row r="15">
      <c r="B15" s="22" t="inlineStr">
        <is>
          <t>Итого</t>
        </is>
      </c>
      <c r="C15" s="27" t="n"/>
      <c r="D15" s="23">
        <f>SUM(D7:D14)</f>
        <v>414.8333333333333</v>
      </c>
      <c r="E15" s="25">
        <f>SUM(E7:E14)</f>
        <v>256</v>
      </c>
      <c r="F15" s="25">
        <f>IF(E15=0,"",D15*60/E15)</f>
        <v>97.2265625</v>
      </c>
      <c r="G15" s="24">
        <f>IF(D15=0,0,1)</f>
        <v>1</v>
      </c>
      <c r="H15" s="27" t="n"/>
    </row>
    <row r="21">
      <c r="B21" s="15" t="inlineStr">
        <is>
          <t>Топ-5 причин простоя</t>
        </is>
      </c>
    </row>
    <row r="22" ht="30" customHeight="1">
      <c r="B22" s="16" t="inlineStr">
        <is>
          <t>Место</t>
        </is>
      </c>
      <c r="C22" s="17" t="inlineStr">
        <is>
          <t>Причина</t>
        </is>
      </c>
      <c r="D22" s="17" t="inlineStr">
        <is>
          <t>Простой, ч</t>
        </is>
      </c>
      <c r="E22" s="17" t="inlineStr">
        <is>
          <t>Случаев</t>
        </is>
      </c>
      <c r="F22" s="17" t="inlineStr">
        <is>
          <t>Доля простоев</t>
        </is>
      </c>
    </row>
    <row r="23">
      <c r="B23" s="28" t="n">
        <v>1</v>
      </c>
      <c r="C23" s="18" t="str">
        <f>IF(INDEX($C$38:$C$44,MATCH(LARGE($F$38:$F$44,$B23),$F$38:$F$44,0))&lt;=0,"",INDEX($B$38:$B$44,MATCH(LARGE($F$38:$F$44,$B23),$F$38:$F$44,0)))</f>
        <v>Поломка</v>
      </c>
      <c r="D23" s="19">
        <f>IF(C23="","",INDEX($C$38:$C$44,MATCH(LARGE($F$38:$F$44,$B23),$F$38:$F$44,0)))</f>
        <v>138.41666666666666</v>
      </c>
      <c r="E23" s="21">
        <f>IF(C23="","",INDEX($D$38:$D$44,MATCH(LARGE($F$38:$F$44,$B23),$F$38:$F$44,0)))</f>
        <v>41</v>
      </c>
      <c r="F23" s="20">
        <f>IF(C23="","",INDEX($E$38:$E$44,MATCH(LARGE($F$38:$F$44,$B23),$F$38:$F$44,0)))</f>
        <v>0.33366813981518684</v>
      </c>
    </row>
    <row r="24">
      <c r="B24" s="28" t="n">
        <v>2</v>
      </c>
      <c r="C24" s="18" t="str">
        <f>IF(INDEX($C$38:$C$44,MATCH(LARGE($F$38:$F$44,$B24),$F$38:$F$44,0))&lt;=0,"",INDEX($B$38:$B$44,MATCH(LARGE($F$38:$F$44,$B24),$F$38:$F$44,0)))</f>
        <v>Нет материала</v>
      </c>
      <c r="D24" s="19">
        <f>IF(C24="","",INDEX($C$38:$C$44,MATCH(LARGE($F$38:$F$44,$B24),$F$38:$F$44,0)))</f>
        <v>97.5</v>
      </c>
      <c r="E24" s="21">
        <f>IF(C24="","",INDEX($D$38:$D$44,MATCH(LARGE($F$38:$F$44,$B24),$F$38:$F$44,0)))</f>
        <v>48</v>
      </c>
      <c r="F24" s="20">
        <f>IF(C24="","",INDEX($E$38:$E$44,MATCH(LARGE($F$38:$F$44,$B24),$F$38:$F$44,0)))</f>
        <v>0.23503415026114907</v>
      </c>
    </row>
    <row r="25">
      <c r="B25" s="28" t="n">
        <v>3</v>
      </c>
      <c r="C25" s="18" t="str">
        <f>IF(INDEX($C$38:$C$44,MATCH(LARGE($F$38:$F$44,$B25),$F$38:$F$44,0))&lt;=0,"",INDEX($B$38:$B$44,MATCH(LARGE($F$38:$F$44,$B25),$F$38:$F$44,0)))</f>
        <v>Переналадка</v>
      </c>
      <c r="D25" s="19">
        <f>IF(C25="","",INDEX($C$38:$C$44,MATCH(LARGE($F$38:$F$44,$B25),$F$38:$F$44,0)))</f>
        <v>88.66666666666667</v>
      </c>
      <c r="E25" s="21">
        <f>IF(C25="","",INDEX($D$38:$D$44,MATCH(LARGE($F$38:$F$44,$B25),$F$38:$F$44,0)))</f>
        <v>78</v>
      </c>
      <c r="F25" s="20">
        <f>IF(C25="","",INDEX($E$38:$E$44,MATCH(LARGE($F$38:$F$44,$B25),$F$38:$F$44,0)))</f>
        <v>0.2137404580152672</v>
      </c>
    </row>
    <row r="26">
      <c r="B26" s="28" t="n">
        <v>4</v>
      </c>
      <c r="C26" s="18" t="str">
        <f>IF(INDEX($C$38:$C$44,MATCH(LARGE($F$38:$F$44,$B26),$F$38:$F$44,0))&lt;=0,"",INDEX($B$38:$B$44,MATCH(LARGE($F$38:$F$44,$B26),$F$38:$F$44,0)))</f>
        <v>Плановое ТО</v>
      </c>
      <c r="D26" s="19">
        <f>IF(C26="","",INDEX($C$38:$C$44,MATCH(LARGE($F$38:$F$44,$B26),$F$38:$F$44,0)))</f>
        <v>46.5</v>
      </c>
      <c r="E26" s="21">
        <f>IF(C26="","",INDEX($D$38:$D$44,MATCH(LARGE($F$38:$F$44,$B26),$F$38:$F$44,0)))</f>
        <v>21</v>
      </c>
      <c r="F26" s="20">
        <f>IF(C26="","",INDEX($E$38:$E$44,MATCH(LARGE($F$38:$F$44,$B26),$F$38:$F$44,0)))</f>
        <v>0.11209321012454801</v>
      </c>
    </row>
    <row r="27">
      <c r="B27" s="28" t="n">
        <v>5</v>
      </c>
      <c r="C27" s="18" t="str">
        <f>IF(INDEX($C$38:$C$44,MATCH(LARGE($F$38:$F$44,$B27),$F$38:$F$44,0))&lt;=0,"",INDEX($B$38:$B$44,MATCH(LARGE($F$38:$F$44,$B27),$F$38:$F$44,0)))</f>
        <v>Контроль качества</v>
      </c>
      <c r="D27" s="19">
        <f>IF(C27="","",INDEX($C$38:$C$44,MATCH(LARGE($F$38:$F$44,$B27),$F$38:$F$44,0)))</f>
        <v>22.416666666666668</v>
      </c>
      <c r="E27" s="21">
        <f>IF(C27="","",INDEX($D$38:$D$44,MATCH(LARGE($F$38:$F$44,$B27),$F$38:$F$44,0)))</f>
        <v>40</v>
      </c>
      <c r="F27" s="20">
        <f>IF(C27="","",INDEX($E$38:$E$44,MATCH(LARGE($F$38:$F$44,$B27),$F$38:$F$44,0)))</f>
        <v>0.05403776617115308</v>
      </c>
    </row>
    <row r="36">
      <c r="B36" s="15" t="inlineStr">
        <is>
          <t>Все причины (источник для рейтинга)</t>
        </is>
      </c>
    </row>
    <row r="37" ht="30" customHeight="1">
      <c r="B37" s="16" t="inlineStr">
        <is>
          <t>Причина</t>
        </is>
      </c>
      <c r="C37" s="17" t="inlineStr">
        <is>
          <t>Простой, ч</t>
        </is>
      </c>
      <c r="D37" s="17" t="inlineStr">
        <is>
          <t>Случаев</t>
        </is>
      </c>
      <c r="E37" s="17" t="inlineStr">
        <is>
          <t>Доля простоев</t>
        </is>
      </c>
      <c r="F37" s="17" t="inlineStr">
        <is>
          <t>Ключ сортировки</t>
        </is>
      </c>
    </row>
    <row r="38">
      <c r="B38" s="18" t="inlineStr">
        <is>
          <t>Замена инструмента</t>
        </is>
      </c>
      <c r="C38" s="19">
        <f>SUMIFS(tblData[ПростойМин],tblData[ПричинаПростоя],$B38,tblData[Смена],critShift,tblData[Цех],critDept,tblData[Дата],"&gt;="&amp;dFrom,tblData[Дата],"&lt;="&amp;dTo)/60</f>
        <v>10.666666666666666</v>
      </c>
      <c r="D38" s="21">
        <f>COUNTIFS(tblData[ПричинаПростоя],$B38,tblData[ПростойМин],"&gt;0",tblData[Смена],critShift,tblData[Цех],critDept,tblData[Дата],"&gt;="&amp;dFrom,tblData[Дата],"&lt;="&amp;dTo)</f>
        <v>23</v>
      </c>
      <c r="E38" s="20">
        <f>IF($C$45=0,0,C38/$C$45)</f>
        <v>0.02571313780634793</v>
      </c>
      <c r="F38" s="29">
        <f>C38+(10000-ROW())/100000000</f>
        <v>10.666766286666666</v>
      </c>
    </row>
    <row r="39">
      <c r="B39" s="18" t="inlineStr">
        <is>
          <t>Контроль качества</t>
        </is>
      </c>
      <c r="C39" s="19">
        <f>SUMIFS(tblData[ПростойМин],tblData[ПричинаПростоя],$B39,tblData[Смена],critShift,tblData[Цех],critDept,tblData[Дата],"&gt;="&amp;dFrom,tblData[Дата],"&lt;="&amp;dTo)/60</f>
        <v>22.416666666666668</v>
      </c>
      <c r="D39" s="21">
        <f>COUNTIFS(tblData[ПричинаПростоя],$B39,tblData[ПростойМин],"&gt;0",tblData[Смена],critShift,tblData[Цех],critDept,tblData[Дата],"&gt;="&amp;dFrom,tblData[Дата],"&lt;="&amp;dTo)</f>
        <v>40</v>
      </c>
      <c r="E39" s="20">
        <f>IF($C$45=0,0,C39/$C$45)</f>
        <v>0.05403776617115308</v>
      </c>
      <c r="F39" s="29">
        <f>C39+(10000-ROW())/100000000</f>
        <v>22.416766276666667</v>
      </c>
    </row>
    <row r="40">
      <c r="B40" s="18" t="inlineStr">
        <is>
          <t>Не указана</t>
        </is>
      </c>
      <c r="C40" s="19">
        <f>SUMIFS(tblData[ПростойМин],tblData[ПричинаПростоя],$B40,tblData[Смена],critShift,tblData[Цех],critDept,tblData[Дата],"&gt;="&amp;dFrom,tblData[Дата],"&lt;="&amp;dTo)/60</f>
        <v>10.666666666666666</v>
      </c>
      <c r="D40" s="21">
        <f>COUNTIFS(tblData[ПричинаПростоя],$B40,tblData[ПростойМин],"&gt;0",tblData[Смена],critShift,tblData[Цех],critDept,tblData[Дата],"&gt;="&amp;dFrom,tblData[Дата],"&lt;="&amp;dTo)</f>
        <v>5</v>
      </c>
      <c r="E40" s="20">
        <f>IF($C$45=0,0,C40/$C$45)</f>
        <v>0.02571313780634793</v>
      </c>
      <c r="F40" s="29">
        <f>C40+(10000-ROW())/100000000</f>
        <v>10.666766266666666</v>
      </c>
    </row>
    <row r="41">
      <c r="B41" s="18" t="inlineStr">
        <is>
          <t>Нет материала</t>
        </is>
      </c>
      <c r="C41" s="19">
        <f>SUMIFS(tblData[ПростойМин],tblData[ПричинаПростоя],$B41,tblData[Смена],critShift,tblData[Цех],critDept,tblData[Дата],"&gt;="&amp;dFrom,tblData[Дата],"&lt;="&amp;dTo)/60</f>
        <v>97.5</v>
      </c>
      <c r="D41" s="21">
        <f>COUNTIFS(tblData[ПричинаПростоя],$B41,tblData[ПростойМин],"&gt;0",tblData[Смена],critShift,tblData[Цех],critDept,tblData[Дата],"&gt;="&amp;dFrom,tblData[Дата],"&lt;="&amp;dTo)</f>
        <v>48</v>
      </c>
      <c r="E41" s="20">
        <f>IF($C$45=0,0,C41/$C$45)</f>
        <v>0.23503415026114907</v>
      </c>
      <c r="F41" s="29">
        <f>C41+(10000-ROW())/100000000</f>
        <v>97.50009959</v>
      </c>
    </row>
    <row r="42">
      <c r="B42" s="18" t="inlineStr">
        <is>
          <t>Переналадка</t>
        </is>
      </c>
      <c r="C42" s="19">
        <f>SUMIFS(tblData[ПростойМин],tblData[ПричинаПростоя],$B42,tblData[Смена],critShift,tblData[Цех],critDept,tblData[Дата],"&gt;="&amp;dFrom,tblData[Дата],"&lt;="&amp;dTo)/60</f>
        <v>88.66666666666667</v>
      </c>
      <c r="D42" s="21">
        <f>COUNTIFS(tblData[ПричинаПростоя],$B42,tblData[ПростойМин],"&gt;0",tblData[Смена],critShift,tblData[Цех],critDept,tblData[Дата],"&gt;="&amp;dFrom,tblData[Дата],"&lt;="&amp;dTo)</f>
        <v>78</v>
      </c>
      <c r="E42" s="20">
        <f>IF($C$45=0,0,C42/$C$45)</f>
        <v>0.2137404580152672</v>
      </c>
      <c r="F42" s="29">
        <f>C42+(10000-ROW())/100000000</f>
        <v>88.66676624666667</v>
      </c>
    </row>
    <row r="43">
      <c r="B43" s="18" t="inlineStr">
        <is>
          <t>Плановое ТО</t>
        </is>
      </c>
      <c r="C43" s="19">
        <f>SUMIFS(tblData[ПростойМин],tblData[ПричинаПростоя],$B43,tblData[Смена],critShift,tblData[Цех],critDept,tblData[Дата],"&gt;="&amp;dFrom,tblData[Дата],"&lt;="&amp;dTo)/60</f>
        <v>46.5</v>
      </c>
      <c r="D43" s="21">
        <f>COUNTIFS(tblData[ПричинаПростоя],$B43,tblData[ПростойМин],"&gt;0",tblData[Смена],critShift,tblData[Цех],critDept,tblData[Дата],"&gt;="&amp;dFrom,tblData[Дата],"&lt;="&amp;dTo)</f>
        <v>21</v>
      </c>
      <c r="E43" s="20">
        <f>IF($C$45=0,0,C43/$C$45)</f>
        <v>0.11209321012454801</v>
      </c>
      <c r="F43" s="29">
        <f>C43+(10000-ROW())/100000000</f>
        <v>46.50009957</v>
      </c>
    </row>
    <row r="44">
      <c r="B44" s="18" t="inlineStr">
        <is>
          <t>Поломка</t>
        </is>
      </c>
      <c r="C44" s="19">
        <f>SUMIFS(tblData[ПростойМин],tblData[ПричинаПростоя],$B44,tblData[Смена],critShift,tblData[Цех],critDept,tblData[Дата],"&gt;="&amp;dFrom,tblData[Дата],"&lt;="&amp;dTo)/60</f>
        <v>138.41666666666666</v>
      </c>
      <c r="D44" s="21">
        <f>COUNTIFS(tblData[ПричинаПростоя],$B44,tblData[ПростойМин],"&gt;0",tblData[Смена],critShift,tblData[Цех],critDept,tblData[Дата],"&gt;="&amp;dFrom,tblData[Дата],"&lt;="&amp;dTo)</f>
        <v>41</v>
      </c>
      <c r="E44" s="20">
        <f>IF($C$45=0,0,C44/$C$45)</f>
        <v>0.33366813981518684</v>
      </c>
      <c r="F44" s="29">
        <f>C44+(10000-ROW())/100000000</f>
        <v>138.41676622666665</v>
      </c>
    </row>
    <row r="45">
      <c r="B45" s="22" t="inlineStr">
        <is>
          <t>Итого</t>
        </is>
      </c>
      <c r="C45" s="23">
        <f>SUM(C38:C44)</f>
        <v>414.8333333333333</v>
      </c>
      <c r="D45" s="25">
        <f>SUM(D38:D44)</f>
        <v>256</v>
      </c>
      <c r="E45" s="24">
        <f>IF(C45=0,0,1)</f>
        <v>1</v>
      </c>
      <c r="F45" s="27" t="n"/>
    </row>
    <row r="47">
      <c r="B47" s="15" t="inlineStr">
        <is>
          <t>Часы простоя: оборудование × причина</t>
        </is>
      </c>
    </row>
    <row r="48" ht="30" customHeight="1">
      <c r="B48" s="16" t="inlineStr">
        <is>
          <t>Оборудование</t>
        </is>
      </c>
      <c r="C48" s="17" t="inlineStr">
        <is>
          <t>Замена инструмента</t>
        </is>
      </c>
      <c r="D48" s="17" t="inlineStr">
        <is>
          <t>Контроль качества</t>
        </is>
      </c>
      <c r="E48" s="17" t="inlineStr">
        <is>
          <t>Не указана</t>
        </is>
      </c>
      <c r="F48" s="17" t="inlineStr">
        <is>
          <t>Нет материала</t>
        </is>
      </c>
      <c r="G48" s="17" t="inlineStr">
        <is>
          <t>Переналадка</t>
        </is>
      </c>
      <c r="H48" s="17" t="inlineStr">
        <is>
          <t>Плановое ТО</t>
        </is>
      </c>
      <c r="I48" s="17" t="inlineStr">
        <is>
          <t>Поломка</t>
        </is>
      </c>
      <c r="J48" s="17" t="inlineStr">
        <is>
          <t>Итого</t>
        </is>
      </c>
    </row>
    <row r="49">
      <c r="B49" s="18" t="inlineStr">
        <is>
          <t>ASM-01</t>
        </is>
      </c>
      <c r="C49" s="30">
        <f>SUMIFS(tblData[ПростойМин],tblData[Оборудование],$B49,tblData[ПричинаПростоя],C$48,tblData[Смена],critShift,tblData[Цех],critDept,tblData[Дата],"&gt;="&amp;dFrom,tblData[Дата],"&lt;="&amp;dTo)/60</f>
        <v>1.6666666666666667</v>
      </c>
      <c r="D49" s="30">
        <f>SUMIFS(tblData[ПростойМин],tblData[Оборудование],$B49,tblData[ПричинаПростоя],D$48,tblData[Смена],critShift,tblData[Цех],critDept,tblData[Дата],"&gt;="&amp;dFrom,tblData[Дата],"&lt;="&amp;dTo)/60</f>
        <v>5.166666666666667</v>
      </c>
      <c r="E49" s="30">
        <f>SUMIFS(tblData[ПростойМин],tblData[Оборудование],$B49,tblData[ПричинаПростоя],E$48,tblData[Смена],critShift,tblData[Цех],critDept,tblData[Дата],"&gt;="&amp;dFrom,tblData[Дата],"&lt;="&amp;dTo)/60</f>
        <v>0</v>
      </c>
      <c r="F49" s="30">
        <f>SUMIFS(tblData[ПростойМин],tblData[Оборудование],$B49,tblData[ПричинаПростоя],F$48,tblData[Смена],critShift,tblData[Цех],critDept,tblData[Дата],"&gt;="&amp;dFrom,tblData[Дата],"&lt;="&amp;dTo)/60</f>
        <v>14</v>
      </c>
      <c r="G49" s="30">
        <f>SUMIFS(tblData[ПростойМин],tblData[Оборудование],$B49,tblData[ПричинаПростоя],G$48,tblData[Смена],critShift,tblData[Цех],critDept,tblData[Дата],"&gt;="&amp;dFrom,tblData[Дата],"&lt;="&amp;dTo)/60</f>
        <v>11.416666666666666</v>
      </c>
      <c r="H49" s="30">
        <f>SUMIFS(tblData[ПростойМин],tblData[Оборудование],$B49,tblData[ПричинаПростоя],H$48,tblData[Смена],critShift,tblData[Цех],critDept,tblData[Дата],"&gt;="&amp;dFrom,tblData[Дата],"&lt;="&amp;dTo)/60</f>
        <v>0</v>
      </c>
      <c r="I49" s="30">
        <f>SUMIFS(tblData[ПростойМин],tblData[Оборудование],$B49,tblData[ПричинаПростоя],I$48,tblData[Смена],critShift,tblData[Цех],critDept,tblData[Дата],"&gt;="&amp;dFrom,tblData[Дата],"&lt;="&amp;dTo)/60</f>
        <v>12</v>
      </c>
      <c r="J49" s="31">
        <f>SUM(C49:I49)</f>
        <v>44.25</v>
      </c>
    </row>
    <row r="50">
      <c r="B50" s="18" t="inlineStr">
        <is>
          <t>ASM-02</t>
        </is>
      </c>
      <c r="C50" s="30">
        <f>SUMIFS(tblData[ПростойМин],tblData[Оборудование],$B50,tblData[ПричинаПростоя],C$48,tblData[Смена],critShift,tblData[Цех],critDept,tblData[Дата],"&gt;="&amp;dFrom,tblData[Дата],"&lt;="&amp;dTo)/60</f>
        <v>0.6666666666666666</v>
      </c>
      <c r="D50" s="30">
        <f>SUMIFS(tblData[ПростойМин],tblData[Оборудование],$B50,tblData[ПричинаПростоя],D$48,tblData[Смена],critShift,tblData[Цех],critDept,tblData[Дата],"&gt;="&amp;dFrom,tblData[Дата],"&lt;="&amp;dTo)/60</f>
        <v>3.8333333333333335</v>
      </c>
      <c r="E50" s="30">
        <f>SUMIFS(tblData[ПростойМин],tblData[Оборудование],$B50,tblData[ПричинаПростоя],E$48,tblData[Смена],critShift,tblData[Цех],critDept,tblData[Дата],"&gt;="&amp;dFrom,tblData[Дата],"&lt;="&amp;dTo)/60</f>
        <v>0</v>
      </c>
      <c r="F50" s="30">
        <f>SUMIFS(tblData[ПростойМин],tblData[Оборудование],$B50,tblData[ПричинаПростоя],F$48,tblData[Смена],critShift,tblData[Цех],critDept,tblData[Дата],"&gt;="&amp;dFrom,tblData[Дата],"&lt;="&amp;dTo)/60</f>
        <v>8.333333333333334</v>
      </c>
      <c r="G50" s="30">
        <f>SUMIFS(tblData[ПростойМин],tblData[Оборудование],$B50,tblData[ПричинаПростоя],G$48,tblData[Смена],critShift,tblData[Цех],critDept,tblData[Дата],"&gt;="&amp;dFrom,tblData[Дата],"&lt;="&amp;dTo)/60</f>
        <v>9.5</v>
      </c>
      <c r="H50" s="30">
        <f>SUMIFS(tblData[ПростойМин],tblData[Оборудование],$B50,tblData[ПричинаПростоя],H$48,tblData[Смена],critShift,tblData[Цех],critDept,tblData[Дата],"&gt;="&amp;dFrom,tblData[Дата],"&lt;="&amp;dTo)/60</f>
        <v>9.166666666666666</v>
      </c>
      <c r="I50" s="30">
        <f>SUMIFS(tblData[ПростойМин],tblData[Оборудование],$B50,tblData[ПричинаПростоя],I$48,tblData[Смена],critShift,tblData[Цех],critDept,tblData[Дата],"&gt;="&amp;dFrom,tblData[Дата],"&lt;="&amp;dTo)/60</f>
        <v>8.416666666666666</v>
      </c>
      <c r="J50" s="31">
        <f>SUM(C50:I50)</f>
        <v>39.916666666666664</v>
      </c>
    </row>
    <row r="51">
      <c r="B51" s="18" t="inlineStr">
        <is>
          <t>CNC-01</t>
        </is>
      </c>
      <c r="C51" s="30">
        <f>SUMIFS(tblData[ПростойМин],tblData[Оборудование],$B51,tblData[ПричинаПростоя],C$48,tblData[Смена],critShift,tblData[Цех],critDept,tblData[Дата],"&gt;="&amp;dFrom,tblData[Дата],"&lt;="&amp;dTo)/60</f>
        <v>2.25</v>
      </c>
      <c r="D51" s="30">
        <f>SUMIFS(tblData[ПростойМин],tblData[Оборудование],$B51,tblData[ПричинаПростоя],D$48,tblData[Смена],critShift,tblData[Цех],critDept,tblData[Дата],"&gt;="&amp;dFrom,tblData[Дата],"&lt;="&amp;dTo)/60</f>
        <v>2.0833333333333335</v>
      </c>
      <c r="E51" s="30">
        <f>SUMIFS(tblData[ПростойМин],tblData[Оборудование],$B51,tblData[ПричинаПростоя],E$48,tblData[Смена],critShift,tblData[Цех],critDept,tblData[Дата],"&gt;="&amp;dFrom,tblData[Дата],"&lt;="&amp;dTo)/60</f>
        <v>0.4166666666666667</v>
      </c>
      <c r="F51" s="30">
        <f>SUMIFS(tblData[ПростойМин],tblData[Оборудование],$B51,tblData[ПричинаПростоя],F$48,tblData[Смена],critShift,tblData[Цех],critDept,tblData[Дата],"&gt;="&amp;dFrom,tblData[Дата],"&lt;="&amp;dTo)/60</f>
        <v>12.583333333333334</v>
      </c>
      <c r="G51" s="30">
        <f>SUMIFS(tblData[ПростойМин],tblData[Оборудование],$B51,tblData[ПричинаПростоя],G$48,tblData[Смена],critShift,tblData[Цех],critDept,tblData[Дата],"&gt;="&amp;dFrom,tblData[Дата],"&lt;="&amp;dTo)/60</f>
        <v>21.5</v>
      </c>
      <c r="H51" s="30">
        <f>SUMIFS(tblData[ПростойМин],tblData[Оборудование],$B51,tblData[ПричинаПростоя],H$48,tblData[Смена],critShift,tblData[Цех],critDept,tblData[Дата],"&gt;="&amp;dFrom,tblData[Дата],"&lt;="&amp;dTo)/60</f>
        <v>13.583333333333334</v>
      </c>
      <c r="I51" s="30">
        <f>SUMIFS(tblData[ПростойМин],tblData[Оборудование],$B51,tblData[ПричинаПростоя],I$48,tblData[Смена],critShift,tblData[Цех],critDept,tblData[Дата],"&gt;="&amp;dFrom,tblData[Дата],"&lt;="&amp;dTo)/60</f>
        <v>20.166666666666668</v>
      </c>
      <c r="J51" s="31">
        <f>SUM(C51:I51)</f>
        <v>72.58333333333334</v>
      </c>
    </row>
    <row r="52">
      <c r="B52" s="18" t="inlineStr">
        <is>
          <t>CNC-02</t>
        </is>
      </c>
      <c r="C52" s="30">
        <f>SUMIFS(tblData[ПростойМин],tblData[Оборудование],$B52,tblData[ПричинаПростоя],C$48,tblData[Смена],critShift,tblData[Цех],critDept,tblData[Дата],"&gt;="&amp;dFrom,tblData[Дата],"&lt;="&amp;dTo)/60</f>
        <v>2.3333333333333335</v>
      </c>
      <c r="D52" s="30">
        <f>SUMIFS(tblData[ПростойМин],tblData[Оборудование],$B52,tblData[ПричинаПростоя],D$48,tblData[Смена],critShift,tblData[Цех],critDept,tblData[Дата],"&gt;="&amp;dFrom,tblData[Дата],"&lt;="&amp;dTo)/60</f>
        <v>2.3333333333333335</v>
      </c>
      <c r="E52" s="30">
        <f>SUMIFS(tblData[ПростойМин],tblData[Оборудование],$B52,tblData[ПричинаПростоя],E$48,tblData[Смена],critShift,tblData[Цех],critDept,tblData[Дата],"&gt;="&amp;dFrom,tblData[Дата],"&lt;="&amp;dTo)/60</f>
        <v>5.666666666666667</v>
      </c>
      <c r="F52" s="30">
        <f>SUMIFS(tblData[ПростойМин],tblData[Оборудование],$B52,tblData[ПричинаПростоя],F$48,tblData[Смена],critShift,tblData[Цех],critDept,tblData[Дата],"&gt;="&amp;dFrom,tblData[Дата],"&lt;="&amp;dTo)/60</f>
        <v>22.25</v>
      </c>
      <c r="G52" s="30">
        <f>SUMIFS(tblData[ПростойМин],tblData[Оборудование],$B52,tblData[ПричинаПростоя],G$48,tblData[Смена],critShift,tblData[Цех],critDept,tblData[Дата],"&gt;="&amp;dFrom,tblData[Дата],"&lt;="&amp;dTo)/60</f>
        <v>13.333333333333334</v>
      </c>
      <c r="H52" s="30">
        <f>SUMIFS(tblData[ПростойМин],tblData[Оборудование],$B52,tblData[ПричинаПростоя],H$48,tblData[Смена],critShift,tblData[Цех],critDept,tblData[Дата],"&gt;="&amp;dFrom,tblData[Дата],"&lt;="&amp;dTo)/60</f>
        <v>3.8333333333333335</v>
      </c>
      <c r="I52" s="30">
        <f>SUMIFS(tblData[ПростойМин],tblData[Оборудование],$B52,tblData[ПричинаПростоя],I$48,tblData[Смена],critShift,tblData[Цех],critDept,tblData[Дата],"&gt;="&amp;dFrom,tblData[Дата],"&lt;="&amp;dTo)/60</f>
        <v>41.833333333333336</v>
      </c>
      <c r="J52" s="31">
        <f>SUM(C52:I52)</f>
        <v>91.58333333333334</v>
      </c>
    </row>
    <row r="53">
      <c r="B53" s="18" t="inlineStr">
        <is>
          <t>CNC-03</t>
        </is>
      </c>
      <c r="C53" s="30">
        <f>SUMIFS(tblData[ПростойМин],tblData[Оборудование],$B53,tblData[ПричинаПростоя],C$48,tblData[Смена],critShift,tblData[Цех],critDept,tblData[Дата],"&gt;="&amp;dFrom,tblData[Дата],"&lt;="&amp;dTo)/60</f>
        <v>0.5</v>
      </c>
      <c r="D53" s="30">
        <f>SUMIFS(tblData[ПростойМин],tblData[Оборудование],$B53,tblData[ПричинаПростоя],D$48,tblData[Смена],critShift,tblData[Цех],critDept,tblData[Дата],"&gt;="&amp;dFrom,tblData[Дата],"&lt;="&amp;dTo)/60</f>
        <v>2.8333333333333335</v>
      </c>
      <c r="E53" s="30">
        <f>SUMIFS(tblData[ПростойМин],tblData[Оборудование],$B53,tblData[ПричинаПростоя],E$48,tblData[Смена],critShift,tblData[Цех],critDept,tblData[Дата],"&gt;="&amp;dFrom,tblData[Дата],"&lt;="&amp;dTo)/60</f>
        <v>1.0833333333333333</v>
      </c>
      <c r="F53" s="30">
        <f>SUMIFS(tblData[ПростойМин],tblData[Оборудование],$B53,tblData[ПричинаПростоя],F$48,tblData[Смена],critShift,tblData[Цех],critDept,tblData[Дата],"&gt;="&amp;dFrom,tblData[Дата],"&lt;="&amp;dTo)/60</f>
        <v>15.666666666666666</v>
      </c>
      <c r="G53" s="30">
        <f>SUMIFS(tblData[ПростойМин],tblData[Оборудование],$B53,tblData[ПричинаПростоя],G$48,tblData[Смена],critShift,tblData[Цех],critDept,tblData[Дата],"&gt;="&amp;dFrom,tblData[Дата],"&lt;="&amp;dTo)/60</f>
        <v>8.5</v>
      </c>
      <c r="H53" s="30">
        <f>SUMIFS(tblData[ПростойМин],tblData[Оборудование],$B53,tblData[ПричинаПростоя],H$48,tblData[Смена],critShift,tblData[Цех],critDept,tblData[Дата],"&gt;="&amp;dFrom,tblData[Дата],"&lt;="&amp;dTo)/60</f>
        <v>7</v>
      </c>
      <c r="I53" s="30">
        <f>SUMIFS(tblData[ПростойМин],tblData[Оборудование],$B53,tblData[ПричинаПростоя],I$48,tblData[Смена],critShift,tblData[Цех],critDept,tblData[Дата],"&gt;="&amp;dFrom,tblData[Дата],"&lt;="&amp;dTo)/60</f>
        <v>18.416666666666668</v>
      </c>
      <c r="J53" s="31">
        <f>SUM(C53:I53)</f>
        <v>54</v>
      </c>
    </row>
    <row r="54">
      <c r="B54" s="18" t="inlineStr">
        <is>
          <t>PNT-01</t>
        </is>
      </c>
      <c r="C54" s="30">
        <f>SUMIFS(tblData[ПростойМин],tblData[Оборудование],$B54,tblData[ПричинаПростоя],C$48,tblData[Смена],critShift,tblData[Цех],critDept,tblData[Дата],"&gt;="&amp;dFrom,tblData[Дата],"&lt;="&amp;dTo)/60</f>
        <v>0.75</v>
      </c>
      <c r="D54" s="30">
        <f>SUMIFS(tblData[ПростойМин],tblData[Оборудование],$B54,tblData[ПричинаПростоя],D$48,tblData[Смена],critShift,tblData[Цех],critDept,tblData[Дата],"&gt;="&amp;dFrom,tblData[Дата],"&lt;="&amp;dTo)/60</f>
        <v>2</v>
      </c>
      <c r="E54" s="30">
        <f>SUMIFS(tblData[ПростойМин],tblData[Оборудование],$B54,tblData[ПричинаПростоя],E$48,tblData[Смена],critShift,tblData[Цех],critDept,tblData[Дата],"&gt;="&amp;dFrom,tblData[Дата],"&lt;="&amp;dTo)/60</f>
        <v>0</v>
      </c>
      <c r="F54" s="30">
        <f>SUMIFS(tblData[ПростойМин],tblData[Оборудование],$B54,tblData[ПричинаПростоя],F$48,tblData[Смена],critShift,tblData[Цех],critDept,tblData[Дата],"&gt;="&amp;dFrom,tblData[Дата],"&lt;="&amp;dTo)/60</f>
        <v>2.8333333333333335</v>
      </c>
      <c r="G54" s="30">
        <f>SUMIFS(tblData[ПростойМин],tblData[Оборудование],$B54,tblData[ПричинаПростоя],G$48,tblData[Смена],critShift,tblData[Цех],critDept,tblData[Дата],"&gt;="&amp;dFrom,tblData[Дата],"&lt;="&amp;dTo)/60</f>
        <v>4.75</v>
      </c>
      <c r="H54" s="30">
        <f>SUMIFS(tblData[ПростойМин],tblData[Оборудование],$B54,tblData[ПричинаПростоя],H$48,tblData[Смена],critShift,tblData[Цех],critDept,tblData[Дата],"&gt;="&amp;dFrom,tblData[Дата],"&lt;="&amp;dTo)/60</f>
        <v>4.5</v>
      </c>
      <c r="I54" s="30">
        <f>SUMIFS(tblData[ПростойМин],tblData[Оборудование],$B54,tblData[ПричинаПростоя],I$48,tblData[Смена],critShift,tblData[Цех],critDept,tblData[Дата],"&gt;="&amp;dFrom,tblData[Дата],"&lt;="&amp;dTo)/60</f>
        <v>3.1666666666666665</v>
      </c>
      <c r="J54" s="31">
        <f>SUM(C54:I54)</f>
        <v>18</v>
      </c>
    </row>
    <row r="55">
      <c r="B55" s="18" t="inlineStr">
        <is>
          <t>WLD-01</t>
        </is>
      </c>
      <c r="C55" s="30">
        <f>SUMIFS(tblData[ПростойМин],tblData[Оборудование],$B55,tblData[ПричинаПростоя],C$48,tblData[Смена],critShift,tblData[Цех],critDept,tblData[Дата],"&gt;="&amp;dFrom,tblData[Дата],"&lt;="&amp;dTo)/60</f>
        <v>1.4166666666666667</v>
      </c>
      <c r="D55" s="30">
        <f>SUMIFS(tblData[ПростойМин],tblData[Оборудование],$B55,tblData[ПричинаПростоя],D$48,tblData[Смена],critShift,tblData[Цех],critDept,tblData[Дата],"&gt;="&amp;dFrom,tblData[Дата],"&lt;="&amp;dTo)/60</f>
        <v>1.3333333333333333</v>
      </c>
      <c r="E55" s="30">
        <f>SUMIFS(tblData[ПростойМин],tblData[Оборудование],$B55,tblData[ПричинаПростоя],E$48,tblData[Смена],critShift,tblData[Цех],critDept,tblData[Дата],"&gt;="&amp;dFrom,tblData[Дата],"&lt;="&amp;dTo)/60</f>
        <v>2.5</v>
      </c>
      <c r="F55" s="30">
        <f>SUMIFS(tblData[ПростойМин],tblData[Оборудование],$B55,tblData[ПричинаПростоя],F$48,tblData[Смена],critShift,tblData[Цех],critDept,tblData[Дата],"&gt;="&amp;dFrom,tblData[Дата],"&lt;="&amp;dTo)/60</f>
        <v>12.416666666666666</v>
      </c>
      <c r="G55" s="30">
        <f>SUMIFS(tblData[ПростойМин],tblData[Оборудование],$B55,tblData[ПричинаПростоя],G$48,tblData[Смена],critShift,tblData[Цех],critDept,tblData[Дата],"&gt;="&amp;dFrom,tblData[Дата],"&lt;="&amp;dTo)/60</f>
        <v>11.75</v>
      </c>
      <c r="H55" s="30">
        <f>SUMIFS(tblData[ПростойМин],tblData[Оборудование],$B55,tblData[ПричинаПростоя],H$48,tblData[Смена],critShift,tblData[Цех],critDept,tblData[Дата],"&gt;="&amp;dFrom,tblData[Дата],"&lt;="&amp;dTo)/60</f>
        <v>1.5833333333333333</v>
      </c>
      <c r="I55" s="30">
        <f>SUMIFS(tblData[ПростойМин],tblData[Оборудование],$B55,tblData[ПричинаПростоя],I$48,tblData[Смена],critShift,tblData[Цех],critDept,tblData[Дата],"&gt;="&amp;dFrom,tblData[Дата],"&lt;="&amp;dTo)/60</f>
        <v>13.916666666666666</v>
      </c>
      <c r="J55" s="31">
        <f>SUM(C55:I55)</f>
        <v>44.916666666666664</v>
      </c>
    </row>
    <row r="56">
      <c r="B56" s="18" t="inlineStr">
        <is>
          <t>WLD-02</t>
        </is>
      </c>
      <c r="C56" s="30">
        <f>SUMIFS(tblData[ПростойМин],tblData[Оборудование],$B56,tblData[ПричинаПростоя],C$48,tblData[Смена],critShift,tblData[Цех],critDept,tblData[Дата],"&gt;="&amp;dFrom,tblData[Дата],"&lt;="&amp;dTo)/60</f>
        <v>1.0833333333333333</v>
      </c>
      <c r="D56" s="30">
        <f>SUMIFS(tblData[ПростойМин],tblData[Оборудование],$B56,tblData[ПричинаПростоя],D$48,tblData[Смена],critShift,tblData[Цех],critDept,tblData[Дата],"&gt;="&amp;dFrom,tblData[Дата],"&lt;="&amp;dTo)/60</f>
        <v>2.8333333333333335</v>
      </c>
      <c r="E56" s="30">
        <f>SUMIFS(tblData[ПростойМин],tblData[Оборудование],$B56,tblData[ПричинаПростоя],E$48,tblData[Смена],critShift,tblData[Цех],critDept,tblData[Дата],"&gt;="&amp;dFrom,tblData[Дата],"&lt;="&amp;dTo)/60</f>
        <v>1</v>
      </c>
      <c r="F56" s="30">
        <f>SUMIFS(tblData[ПростойМин],tblData[Оборудование],$B56,tblData[ПричинаПростоя],F$48,tblData[Смена],critShift,tblData[Цех],critDept,tblData[Дата],"&gt;="&amp;dFrom,tblData[Дата],"&lt;="&amp;dTo)/60</f>
        <v>9.416666666666666</v>
      </c>
      <c r="G56" s="30">
        <f>SUMIFS(tblData[ПростойМин],tblData[Оборудование],$B56,tblData[ПричинаПростоя],G$48,tblData[Смена],critShift,tblData[Цех],critDept,tblData[Дата],"&gt;="&amp;dFrom,tblData[Дата],"&lt;="&amp;dTo)/60</f>
        <v>7.916666666666667</v>
      </c>
      <c r="H56" s="30">
        <f>SUMIFS(tblData[ПростойМин],tblData[Оборудование],$B56,tblData[ПричинаПростоя],H$48,tblData[Смена],critShift,tblData[Цех],critDept,tblData[Дата],"&gt;="&amp;dFrom,tblData[Дата],"&lt;="&amp;dTo)/60</f>
        <v>6.833333333333333</v>
      </c>
      <c r="I56" s="30">
        <f>SUMIFS(tblData[ПростойМин],tblData[Оборудование],$B56,tblData[ПричинаПростоя],I$48,tblData[Смена],critShift,tblData[Цех],critDept,tblData[Дата],"&gt;="&amp;dFrom,tblData[Дата],"&lt;="&amp;dTo)/60</f>
        <v>20.5</v>
      </c>
      <c r="J56" s="31">
        <f>SUM(C56:I56)</f>
        <v>49.583333333333336</v>
      </c>
    </row>
    <row r="57">
      <c r="B57" s="22" t="inlineStr">
        <is>
          <t>Итого</t>
        </is>
      </c>
      <c r="C57" s="32">
        <f>SUM(C49:C56)</f>
        <v>10.666666666666666</v>
      </c>
      <c r="D57" s="32">
        <f>SUM(D49:D56)</f>
        <v>22.416666666666668</v>
      </c>
      <c r="E57" s="32">
        <f>SUM(E49:E56)</f>
        <v>10.666666666666666</v>
      </c>
      <c r="F57" s="32">
        <f>SUM(F49:F56)</f>
        <v>97.5</v>
      </c>
      <c r="G57" s="32">
        <f>SUM(G49:G56)</f>
        <v>88.66666666666667</v>
      </c>
      <c r="H57" s="32">
        <f>SUM(H49:H56)</f>
        <v>46.5</v>
      </c>
      <c r="I57" s="32">
        <f>SUM(I49:I56)</f>
        <v>138.41666666666666</v>
      </c>
      <c r="J57" s="32">
        <f>SUM(J49:J56)</f>
        <v>414.83333333333337</v>
      </c>
    </row>
  </sheetData>
  <conditionalFormatting sqref="C49:I56">
    <cfRule type="colorScale" priority="1">
      <colorScale>
        <cfvo type="num" val="0"/>
        <cfvo type="max"/>
        <color rgb="00FFFFFF"/>
        <color rgb="00F2A07E"/>
      </colorScale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25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62" customWidth="1" min="4" max="4"/>
  </cols>
  <sheetData>
    <row r="1" ht="30" customHeight="1">
      <c r="B1" s="1" t="inlineStr">
        <is>
          <t>Настройки отчёта</t>
        </is>
      </c>
      <c r="C1" s="2" t="n"/>
      <c r="D1" s="2" t="n"/>
    </row>
    <row r="2">
      <c r="B2" s="3" t="inlineStr">
        <is>
          <t>Демо-проект · Demo project — компания, люди и цифры вымышлены</t>
        </is>
      </c>
    </row>
    <row r="4" ht="30" customHeight="1">
      <c r="B4" s="16" t="inlineStr">
        <is>
          <t>Параметр</t>
        </is>
      </c>
      <c r="C4" s="17" t="inlineStr">
        <is>
          <t>Значение</t>
        </is>
      </c>
      <c r="D4" s="17" t="inlineStr">
        <is>
          <t>Как пользоваться</t>
        </is>
      </c>
    </row>
    <row r="5" ht="22" customHeight="1">
      <c r="B5" s="33" t="inlineStr">
        <is>
          <t>Смена</t>
        </is>
      </c>
      <c r="C5" s="34" t="inlineStr">
        <is>
          <t>Все</t>
        </is>
      </c>
      <c r="D5" s="26" t="inlineStr">
        <is>
          <t>Выберите смену или «Все»</t>
        </is>
      </c>
    </row>
    <row r="6" ht="22" customHeight="1">
      <c r="B6" s="33" t="inlineStr">
        <is>
          <t>Цех</t>
        </is>
      </c>
      <c r="C6" s="34" t="inlineStr">
        <is>
          <t>Все</t>
        </is>
      </c>
      <c r="D6" s="26" t="inlineStr">
        <is>
          <t>Выберите цех или «Все»</t>
        </is>
      </c>
    </row>
    <row r="7" ht="22" customHeight="1">
      <c r="B7" s="33" t="inlineStr">
        <is>
          <t>Дата с</t>
        </is>
      </c>
      <c r="C7" s="35" t="n">
        <v>46266</v>
      </c>
      <c r="D7" s="26" t="inlineStr">
        <is>
          <t>Выберите день из списка (дни, которые есть в данных)</t>
        </is>
      </c>
    </row>
    <row r="8" ht="22" customHeight="1">
      <c r="B8" s="33" t="inlineStr">
        <is>
          <t>Дата по</t>
        </is>
      </c>
      <c r="C8" s="35" t="n">
        <v>46295</v>
      </c>
      <c r="D8" s="26" t="inlineStr">
        <is>
          <t>Включительно; не раньше, чем «Дата с»</t>
        </is>
      </c>
    </row>
    <row r="9" ht="22" customHeight="1">
      <c r="B9" s="33" t="inlineStr">
        <is>
          <t>Целевая доступность</t>
        </is>
      </c>
      <c r="C9" s="36" t="n">
        <v>0.85</v>
      </c>
      <c r="D9" s="26" t="inlineStr">
        <is>
          <t>Ниже цели — отметка ▼ и красный цвет</t>
        </is>
      </c>
    </row>
    <row r="11">
      <c r="B11" s="37" t="str">
        <f>IF(AND(ISNUMBER(selFrom),ISNUMBER(selTo),selTo&lt;selFrom),"⚠ «Дата по» раньше, чем «Дата с» — все итоги будут равны 0","✓ Фильтры заданы корректно")</f>
        <v>✓ Фильтры заданы корректно</v>
      </c>
    </row>
    <row r="13">
      <c r="B13" s="15" t="inlineStr">
        <is>
          <t>Сводка по данным</t>
        </is>
      </c>
    </row>
    <row r="14">
      <c r="B14" s="18" t="inlineStr">
        <is>
          <t>Строк в таблице «Данные»</t>
        </is>
      </c>
      <c r="C14" s="38">
        <f>COUNT(tblData[Дата])</f>
        <v>412</v>
      </c>
    </row>
    <row r="15">
      <c r="B15" s="18" t="inlineStr">
        <is>
          <t>Первая дата</t>
        </is>
      </c>
      <c r="C15" s="39">
        <f>MIN(tblData[Дата])</f>
        <v>46266</v>
      </c>
    </row>
    <row r="16">
      <c r="B16" s="18" t="inlineStr">
        <is>
          <t>Последняя дата</t>
        </is>
      </c>
      <c r="C16" s="39">
        <f>MAX(tblData[Дата])</f>
        <v>46295</v>
      </c>
    </row>
    <row r="17">
      <c r="B17" s="18" t="inlineStr">
        <is>
          <t>Строк по текущим фильтрам</t>
        </is>
      </c>
      <c r="C17" s="38">
        <f>COUNTIFS(tblData[Смена],critShift,tblData[Цех],critDept,tblData[Дата],"&gt;="&amp;dFrom,tblData[Дата],"&lt;="&amp;dTo)</f>
        <v>412</v>
      </c>
    </row>
    <row r="19">
      <c r="B19" s="15" t="inlineStr">
        <is>
          <t>Как это работает</t>
        </is>
      </c>
    </row>
    <row r="20" ht="30" customHeight="1">
      <c r="B20" s="40" t="inlineStr">
        <is>
          <t>1. Жёлтые ячейки — единственные поля ввода. Всё остальное считается формулами (СУММЕСЛИМН / СЧЁТЕСЛИМН).</t>
        </is>
      </c>
    </row>
    <row r="21" ht="30" customHeight="1">
      <c r="B21" s="40" t="inlineStr">
        <is>
          <t>2. Новые строки журнала вводите или вставляйте сразу под таблицей на листе «Данные»: Excel расширит таблицу, и все итоги, графики и списки дат пересчитаются — Python не нужен.</t>
        </is>
      </c>
    </row>
    <row r="22" ht="30" customHeight="1">
      <c r="B22" s="40" t="inlineStr">
        <is>
          <t>3. Для нового станка / сотрудника / причины добавьте строку в сводную таблицу (скопируйте строку выше) или перезапустите build_dashboard.py.</t>
        </is>
      </c>
    </row>
    <row r="23" ht="30" customHeight="1">
      <c r="B23" s="40" t="inlineStr">
        <is>
          <t>4. Работает в Excel 2013 и новее: без макросов, без XLOOKUP / FILTER / динамических массивов.</t>
        </is>
      </c>
    </row>
    <row r="25">
      <c r="B25" s="41" t="inlineStr">
        <is>
          <t>поле ввода</t>
        </is>
      </c>
    </row>
  </sheetData>
  <mergeCells count="4">
    <mergeCell ref="B23:D23"/>
    <mergeCell ref="B22:D22"/>
    <mergeCell ref="B21:D21"/>
    <mergeCell ref="B20:D20"/>
  </mergeCells>
  <conditionalFormatting sqref="B11">
    <cfRule type="expression" priority="1" dxfId="1">
      <formula>AND(ISNUMBER(selFrom),ISNUMBER(selTo),selTo&lt;selFrom)</formula>
    </cfRule>
    <cfRule type="expression" priority="2" dxfId="0">
      <formula>NOT(AND(ISNUMBER(selFrom),ISNUMBER(selTo),selTo&lt;selFrom))</formula>
    </cfRule>
  </conditionalFormatting>
  <dataValidations count="5">
    <dataValidation sqref="C5" showDropDown="0" showInputMessage="0" showErrorMessage="1" allowBlank="1" errorTitle="Недопустимое значение" error="Выберите значение из списка." type="list">
      <formula1>lstShift</formula1>
    </dataValidation>
    <dataValidation sqref="C6" showDropDown="0" showInputMessage="0" showErrorMessage="1" allowBlank="1" errorTitle="Недопустимое значение" error="Выберите значение из списка." type="list">
      <formula1>lstDept</formula1>
    </dataValidation>
    <dataValidation sqref="C7" showDropDown="0" showInputMessage="0" showErrorMessage="1" allowBlank="1" errorTitle="Недопустимое значение" error="Выберите значение из списка." type="list">
      <formula1>lstDates</formula1>
    </dataValidation>
    <dataValidation sqref="C8" showDropDown="0" showInputMessage="0" showErrorMessage="1" allowBlank="1" errorTitle="Недопустимое значение" error="Выберите значение из списка." type="list">
      <formula1>lstDates</formula1>
    </dataValidation>
    <dataValidation sqref="C9" showDropDown="0" showInputMessage="0" showErrorMessage="1" allowBlank="0" errorTitle="Недопустимое значение" error="Введите процент от 0% до 100%.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3"/>
  <sheetViews>
    <sheetView showGridLines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22" customWidth="1" min="5" max="5"/>
    <col width="12" customWidth="1" min="6" max="6"/>
    <col width="13" customWidth="1" min="7" max="7"/>
    <col width="24" customWidth="1" min="8" max="8"/>
  </cols>
  <sheetData>
    <row r="1">
      <c r="A1" s="42" t="inlineStr">
        <is>
          <t>Дата</t>
        </is>
      </c>
      <c r="B1" s="42" t="inlineStr">
        <is>
          <t>Смена</t>
        </is>
      </c>
      <c r="C1" s="42" t="inlineStr">
        <is>
          <t>Цех</t>
        </is>
      </c>
      <c r="D1" s="42" t="inlineStr">
        <is>
          <t>Оборудование</t>
        </is>
      </c>
      <c r="E1" s="42" t="inlineStr">
        <is>
          <t>Сотрудник</t>
        </is>
      </c>
      <c r="F1" s="42" t="inlineStr">
        <is>
          <t>ЧасыРаботы</t>
        </is>
      </c>
      <c r="G1" s="42" t="inlineStr">
        <is>
          <t>ПростойМин</t>
        </is>
      </c>
      <c r="H1" s="42" t="inlineStr">
        <is>
          <t>ПричинаПростоя</t>
        </is>
      </c>
    </row>
    <row r="2">
      <c r="A2" s="43" t="n">
        <v>46266</v>
      </c>
      <c r="B2" s="44" t="inlineStr">
        <is>
          <t>Вечерняя</t>
        </is>
      </c>
      <c r="C2" s="44" t="inlineStr">
        <is>
          <t>Сборка</t>
        </is>
      </c>
      <c r="D2" s="44" t="inlineStr">
        <is>
          <t>ASM-01</t>
        </is>
      </c>
      <c r="E2" s="44" t="inlineStr">
        <is>
          <t>Кузнецов Б.К.</t>
        </is>
      </c>
      <c r="F2" s="45" t="n">
        <v>7.33</v>
      </c>
      <c r="G2" s="46" t="n">
        <v>40</v>
      </c>
      <c r="H2" s="44" t="inlineStr">
        <is>
          <t>Контроль качества</t>
        </is>
      </c>
    </row>
    <row r="3">
      <c r="A3" s="43" t="n">
        <v>46266</v>
      </c>
      <c r="B3" s="44" t="inlineStr">
        <is>
          <t>Вечерняя</t>
        </is>
      </c>
      <c r="C3" s="44" t="inlineStr">
        <is>
          <t>Сборка</t>
        </is>
      </c>
      <c r="D3" s="44" t="inlineStr">
        <is>
          <t>ASM-02</t>
        </is>
      </c>
      <c r="E3" s="44" t="inlineStr">
        <is>
          <t>Козлов И.Р.</t>
        </is>
      </c>
      <c r="F3" s="45" t="n">
        <v>8</v>
      </c>
      <c r="G3" s="46" t="n">
        <v>0</v>
      </c>
      <c r="H3" s="44" t="n"/>
    </row>
    <row r="4">
      <c r="A4" s="43" t="n">
        <v>46266</v>
      </c>
      <c r="B4" s="44" t="inlineStr">
        <is>
          <t>Вечерняя</t>
        </is>
      </c>
      <c r="C4" s="44" t="inlineStr">
        <is>
          <t>Мехобработка</t>
        </is>
      </c>
      <c r="D4" s="44" t="inlineStr">
        <is>
          <t>CNC-01</t>
        </is>
      </c>
      <c r="E4" s="44" t="inlineStr">
        <is>
          <t>Алексеев В.М.</t>
        </is>
      </c>
      <c r="F4" s="45" t="n">
        <v>8</v>
      </c>
      <c r="G4" s="46" t="n">
        <v>0</v>
      </c>
      <c r="H4" s="44" t="n"/>
    </row>
    <row r="5">
      <c r="A5" s="43" t="n">
        <v>46266</v>
      </c>
      <c r="B5" s="44" t="inlineStr">
        <is>
          <t>Вечерняя</t>
        </is>
      </c>
      <c r="C5" s="44" t="inlineStr">
        <is>
          <t>Мехобработка</t>
        </is>
      </c>
      <c r="D5" s="44" t="inlineStr">
        <is>
          <t>CNC-02</t>
        </is>
      </c>
      <c r="E5" s="44" t="inlineStr">
        <is>
          <t>Смирнов А.В.</t>
        </is>
      </c>
      <c r="F5" s="45" t="n">
        <v>8</v>
      </c>
      <c r="G5" s="46" t="n">
        <v>0</v>
      </c>
      <c r="H5" s="44" t="n"/>
    </row>
    <row r="6">
      <c r="A6" s="43" t="n">
        <v>46266</v>
      </c>
      <c r="B6" s="44" t="inlineStr">
        <is>
          <t>Вечерняя</t>
        </is>
      </c>
      <c r="C6" s="44" t="inlineStr">
        <is>
          <t>Мехобработка</t>
        </is>
      </c>
      <c r="D6" s="44" t="inlineStr">
        <is>
          <t>CNC-03</t>
        </is>
      </c>
      <c r="E6" s="44" t="inlineStr">
        <is>
          <t>Попов П.Л.</t>
        </is>
      </c>
      <c r="F6" s="45" t="n">
        <v>7.75</v>
      </c>
      <c r="G6" s="46" t="n">
        <v>15</v>
      </c>
      <c r="H6" s="44" t="inlineStr">
        <is>
          <t>Контроль качества</t>
        </is>
      </c>
    </row>
    <row r="7">
      <c r="A7" s="43" t="n">
        <v>46266</v>
      </c>
      <c r="B7" s="44" t="inlineStr">
        <is>
          <t>Вечерняя</t>
        </is>
      </c>
      <c r="C7" s="44" t="inlineStr">
        <is>
          <t>Сварка</t>
        </is>
      </c>
      <c r="D7" s="44" t="inlineStr">
        <is>
          <t>WLD-01</t>
        </is>
      </c>
      <c r="E7" s="44" t="inlineStr">
        <is>
          <t>Соколов К.А.</t>
        </is>
      </c>
      <c r="F7" s="45" t="n">
        <v>8</v>
      </c>
      <c r="G7" s="46" t="n">
        <v>0</v>
      </c>
      <c r="H7" s="44" t="n"/>
    </row>
    <row r="8">
      <c r="A8" s="43" t="n">
        <v>46266</v>
      </c>
      <c r="B8" s="44" t="inlineStr">
        <is>
          <t>Вечерняя</t>
        </is>
      </c>
      <c r="C8" s="44" t="inlineStr">
        <is>
          <t>Сварка</t>
        </is>
      </c>
      <c r="D8" s="44" t="inlineStr">
        <is>
          <t>WLD-02</t>
        </is>
      </c>
      <c r="E8" s="44" t="inlineStr">
        <is>
          <t>Попов В.Р.</t>
        </is>
      </c>
      <c r="F8" s="45" t="n">
        <v>6.67</v>
      </c>
      <c r="G8" s="46" t="n">
        <v>80</v>
      </c>
      <c r="H8" s="44" t="inlineStr">
        <is>
          <t>Поломка</t>
        </is>
      </c>
    </row>
    <row r="9">
      <c r="A9" s="43" t="n">
        <v>46266</v>
      </c>
      <c r="B9" s="44" t="inlineStr">
        <is>
          <t>Дневная</t>
        </is>
      </c>
      <c r="C9" s="44" t="inlineStr">
        <is>
          <t>Сборка</t>
        </is>
      </c>
      <c r="D9" s="44" t="inlineStr">
        <is>
          <t>ASM-01</t>
        </is>
      </c>
      <c r="E9" s="44" t="inlineStr">
        <is>
          <t>Волков О.Л.</t>
        </is>
      </c>
      <c r="F9" s="45" t="n">
        <v>5.92</v>
      </c>
      <c r="G9" s="46" t="n">
        <v>125</v>
      </c>
      <c r="H9" s="44" t="inlineStr">
        <is>
          <t>Переналадка</t>
        </is>
      </c>
    </row>
    <row r="10">
      <c r="A10" s="43" t="n">
        <v>46266</v>
      </c>
      <c r="B10" s="44" t="inlineStr">
        <is>
          <t>Дневная</t>
        </is>
      </c>
      <c r="C10" s="44" t="inlineStr">
        <is>
          <t>Сборка</t>
        </is>
      </c>
      <c r="D10" s="44" t="inlineStr">
        <is>
          <t>ASM-02</t>
        </is>
      </c>
      <c r="E10" s="44" t="inlineStr">
        <is>
          <t>Попов А.Л.</t>
        </is>
      </c>
      <c r="F10" s="45" t="n">
        <v>8</v>
      </c>
      <c r="G10" s="46" t="n">
        <v>0</v>
      </c>
      <c r="H10" s="44" t="n"/>
    </row>
    <row r="11">
      <c r="A11" s="43" t="n">
        <v>46266</v>
      </c>
      <c r="B11" s="44" t="inlineStr">
        <is>
          <t>Дневная</t>
        </is>
      </c>
      <c r="C11" s="44" t="inlineStr">
        <is>
          <t>Мехобработка</t>
        </is>
      </c>
      <c r="D11" s="44" t="inlineStr">
        <is>
          <t>CNC-01</t>
        </is>
      </c>
      <c r="E11" s="44" t="inlineStr">
        <is>
          <t>Михайлов К.Д.</t>
        </is>
      </c>
      <c r="F11" s="45" t="n">
        <v>7.5</v>
      </c>
      <c r="G11" s="46" t="n">
        <v>30</v>
      </c>
      <c r="H11" s="44" t="inlineStr">
        <is>
          <t>Замена инструмента</t>
        </is>
      </c>
    </row>
    <row r="12">
      <c r="A12" s="43" t="n">
        <v>46266</v>
      </c>
      <c r="B12" s="44" t="inlineStr">
        <is>
          <t>Дневная</t>
        </is>
      </c>
      <c r="C12" s="44" t="inlineStr">
        <is>
          <t>Мехобработка</t>
        </is>
      </c>
      <c r="D12" s="44" t="inlineStr">
        <is>
          <t>CNC-02</t>
        </is>
      </c>
      <c r="E12" s="44" t="inlineStr">
        <is>
          <t>Морозов Л.Д.</t>
        </is>
      </c>
      <c r="F12" s="45" t="n">
        <v>7.17</v>
      </c>
      <c r="G12" s="46" t="n">
        <v>50</v>
      </c>
      <c r="H12" s="44" t="inlineStr">
        <is>
          <t>Нет материала</t>
        </is>
      </c>
    </row>
    <row r="13">
      <c r="A13" s="43" t="n">
        <v>46266</v>
      </c>
      <c r="B13" s="44" t="inlineStr">
        <is>
          <t>Дневная</t>
        </is>
      </c>
      <c r="C13" s="44" t="inlineStr">
        <is>
          <t>Мехобработка</t>
        </is>
      </c>
      <c r="D13" s="44" t="inlineStr">
        <is>
          <t>CNC-03</t>
        </is>
      </c>
      <c r="E13" s="44" t="inlineStr">
        <is>
          <t>Николаев О.И.</t>
        </is>
      </c>
      <c r="F13" s="45" t="n">
        <v>7.33</v>
      </c>
      <c r="G13" s="46" t="n">
        <v>40</v>
      </c>
      <c r="H13" s="44" t="inlineStr">
        <is>
          <t>Контроль качества</t>
        </is>
      </c>
    </row>
    <row r="14">
      <c r="A14" s="43" t="n">
        <v>46266</v>
      </c>
      <c r="B14" s="44" t="inlineStr">
        <is>
          <t>Дневная</t>
        </is>
      </c>
      <c r="C14" s="44" t="inlineStr">
        <is>
          <t>Покраска</t>
        </is>
      </c>
      <c r="D14" s="44" t="inlineStr">
        <is>
          <t>PNT-01</t>
        </is>
      </c>
      <c r="E14" s="44" t="inlineStr">
        <is>
          <t>Смирнов С.Г.</t>
        </is>
      </c>
      <c r="F14" s="45" t="n">
        <v>8</v>
      </c>
      <c r="G14" s="46" t="n">
        <v>0</v>
      </c>
      <c r="H14" s="44" t="n"/>
    </row>
    <row r="15">
      <c r="A15" s="43" t="n">
        <v>46266</v>
      </c>
      <c r="B15" s="44" t="inlineStr">
        <is>
          <t>Дневная</t>
        </is>
      </c>
      <c r="C15" s="44" t="inlineStr">
        <is>
          <t>Сварка</t>
        </is>
      </c>
      <c r="D15" s="44" t="inlineStr">
        <is>
          <t>WLD-01</t>
        </is>
      </c>
      <c r="E15" s="44" t="inlineStr">
        <is>
          <t>Фёдоров В.К.</t>
        </is>
      </c>
      <c r="F15" s="45" t="n">
        <v>7.25</v>
      </c>
      <c r="G15" s="46" t="n">
        <v>45</v>
      </c>
      <c r="H15" s="44" t="inlineStr">
        <is>
          <t>Нет материала</t>
        </is>
      </c>
    </row>
    <row r="16">
      <c r="A16" s="43" t="n">
        <v>46266</v>
      </c>
      <c r="B16" s="44" t="inlineStr">
        <is>
          <t>Дневная</t>
        </is>
      </c>
      <c r="C16" s="44" t="inlineStr">
        <is>
          <t>Сварка</t>
        </is>
      </c>
      <c r="D16" s="44" t="inlineStr">
        <is>
          <t>WLD-02</t>
        </is>
      </c>
      <c r="E16" s="44" t="inlineStr">
        <is>
          <t>Кузнецов П.Г.</t>
        </is>
      </c>
      <c r="F16" s="45" t="n">
        <v>6.5</v>
      </c>
      <c r="G16" s="46" t="n">
        <v>90</v>
      </c>
      <c r="H16" s="44" t="inlineStr">
        <is>
          <t>Переналадка</t>
        </is>
      </c>
    </row>
    <row r="17">
      <c r="A17" s="43" t="n">
        <v>46266</v>
      </c>
      <c r="B17" s="44" t="inlineStr">
        <is>
          <t>Ночная</t>
        </is>
      </c>
      <c r="C17" s="44" t="inlineStr">
        <is>
          <t>Мехобработка</t>
        </is>
      </c>
      <c r="D17" s="44" t="inlineStr">
        <is>
          <t>CNC-01</t>
        </is>
      </c>
      <c r="E17" s="44" t="inlineStr">
        <is>
          <t>Соколов Н.Г.</t>
        </is>
      </c>
      <c r="F17" s="45" t="n">
        <v>7.25</v>
      </c>
      <c r="G17" s="46" t="n">
        <v>45</v>
      </c>
      <c r="H17" s="44" t="inlineStr">
        <is>
          <t>Переналадка</t>
        </is>
      </c>
    </row>
    <row r="18">
      <c r="A18" s="43" t="n">
        <v>46266</v>
      </c>
      <c r="B18" s="44" t="inlineStr">
        <is>
          <t>Ночная</t>
        </is>
      </c>
      <c r="C18" s="44" t="inlineStr">
        <is>
          <t>Мехобработка</t>
        </is>
      </c>
      <c r="D18" s="44" t="inlineStr">
        <is>
          <t>CNC-02</t>
        </is>
      </c>
      <c r="E18" s="44" t="inlineStr">
        <is>
          <t>Михайлов С.Л.</t>
        </is>
      </c>
      <c r="F18" s="45" t="n">
        <v>8</v>
      </c>
      <c r="G18" s="46" t="n">
        <v>0</v>
      </c>
      <c r="H18" s="44" t="n"/>
    </row>
    <row r="19">
      <c r="A19" s="43" t="n">
        <v>46266</v>
      </c>
      <c r="B19" s="44" t="inlineStr">
        <is>
          <t>Ночная</t>
        </is>
      </c>
      <c r="C19" s="44" t="inlineStr">
        <is>
          <t>Мехобработка</t>
        </is>
      </c>
      <c r="D19" s="44" t="inlineStr">
        <is>
          <t>CNC-03</t>
        </is>
      </c>
      <c r="E19" s="44" t="inlineStr">
        <is>
          <t>Иванов Е.Р.</t>
        </is>
      </c>
      <c r="F19" s="45" t="n">
        <v>5.17</v>
      </c>
      <c r="G19" s="46" t="n">
        <v>170</v>
      </c>
      <c r="H19" s="44" t="inlineStr">
        <is>
          <t>Плановое ТО</t>
        </is>
      </c>
    </row>
    <row r="20">
      <c r="A20" s="43" t="n">
        <v>46267</v>
      </c>
      <c r="B20" s="44" t="inlineStr">
        <is>
          <t>Вечерняя</t>
        </is>
      </c>
      <c r="C20" s="44" t="inlineStr">
        <is>
          <t>Сборка</t>
        </is>
      </c>
      <c r="D20" s="44" t="inlineStr">
        <is>
          <t>ASM-01</t>
        </is>
      </c>
      <c r="E20" s="44" t="inlineStr">
        <is>
          <t>Кузнецов Б.К.</t>
        </is>
      </c>
      <c r="F20" s="45" t="n">
        <v>6.17</v>
      </c>
      <c r="G20" s="46" t="n">
        <v>110</v>
      </c>
      <c r="H20" s="44" t="inlineStr">
        <is>
          <t>Нет материала</t>
        </is>
      </c>
    </row>
    <row r="21">
      <c r="A21" s="43" t="n">
        <v>46267</v>
      </c>
      <c r="B21" s="44" t="inlineStr">
        <is>
          <t>Вечерняя</t>
        </is>
      </c>
      <c r="C21" s="44" t="inlineStr">
        <is>
          <t>Сборка</t>
        </is>
      </c>
      <c r="D21" s="44" t="inlineStr">
        <is>
          <t>ASM-02</t>
        </is>
      </c>
      <c r="E21" s="44" t="inlineStr">
        <is>
          <t>Козлов И.Р.</t>
        </is>
      </c>
      <c r="F21" s="45" t="n">
        <v>8</v>
      </c>
      <c r="G21" s="46" t="n">
        <v>0</v>
      </c>
      <c r="H21" s="44" t="n"/>
    </row>
    <row r="22">
      <c r="A22" s="43" t="n">
        <v>46267</v>
      </c>
      <c r="B22" s="44" t="inlineStr">
        <is>
          <t>Вечерняя</t>
        </is>
      </c>
      <c r="C22" s="44" t="inlineStr">
        <is>
          <t>Мехобработка</t>
        </is>
      </c>
      <c r="D22" s="44" t="inlineStr">
        <is>
          <t>CNC-01</t>
        </is>
      </c>
      <c r="E22" s="44" t="inlineStr">
        <is>
          <t>Алексеев В.М.</t>
        </is>
      </c>
      <c r="F22" s="45" t="n">
        <v>6.5</v>
      </c>
      <c r="G22" s="46" t="n">
        <v>90</v>
      </c>
      <c r="H22" s="44" t="inlineStr">
        <is>
          <t>Переналадка</t>
        </is>
      </c>
    </row>
    <row r="23">
      <c r="A23" s="43" t="n">
        <v>46267</v>
      </c>
      <c r="B23" s="44" t="inlineStr">
        <is>
          <t>Вечерняя</t>
        </is>
      </c>
      <c r="C23" s="44" t="inlineStr">
        <is>
          <t>Мехобработка</t>
        </is>
      </c>
      <c r="D23" s="44" t="inlineStr">
        <is>
          <t>CNC-02</t>
        </is>
      </c>
      <c r="E23" s="44" t="inlineStr">
        <is>
          <t>Смирнов А.В.</t>
        </is>
      </c>
      <c r="F23" s="45" t="n">
        <v>5.83</v>
      </c>
      <c r="G23" s="46" t="n">
        <v>130</v>
      </c>
      <c r="H23" s="44" t="inlineStr">
        <is>
          <t>Поломка</t>
        </is>
      </c>
    </row>
    <row r="24">
      <c r="A24" s="43" t="n">
        <v>46267</v>
      </c>
      <c r="B24" s="44" t="inlineStr">
        <is>
          <t>Вечерняя</t>
        </is>
      </c>
      <c r="C24" s="44" t="inlineStr">
        <is>
          <t>Мехобработка</t>
        </is>
      </c>
      <c r="D24" s="44" t="inlineStr">
        <is>
          <t>CNC-03</t>
        </is>
      </c>
      <c r="E24" s="44" t="inlineStr">
        <is>
          <t>Попов П.Л.</t>
        </is>
      </c>
      <c r="F24" s="45" t="n">
        <v>7.67</v>
      </c>
      <c r="G24" s="46" t="n">
        <v>20</v>
      </c>
      <c r="H24" s="44" t="inlineStr">
        <is>
          <t>Контроль качества</t>
        </is>
      </c>
    </row>
    <row r="25">
      <c r="A25" s="43" t="n">
        <v>46267</v>
      </c>
      <c r="B25" s="44" t="inlineStr">
        <is>
          <t>Вечерняя</t>
        </is>
      </c>
      <c r="C25" s="44" t="inlineStr">
        <is>
          <t>Сварка</t>
        </is>
      </c>
      <c r="D25" s="44" t="inlineStr">
        <is>
          <t>WLD-01</t>
        </is>
      </c>
      <c r="E25" s="44" t="inlineStr">
        <is>
          <t>Соколов К.А.</t>
        </is>
      </c>
      <c r="F25" s="45" t="n">
        <v>6.17</v>
      </c>
      <c r="G25" s="46" t="n">
        <v>110</v>
      </c>
      <c r="H25" s="44" t="inlineStr">
        <is>
          <t>Нет материала</t>
        </is>
      </c>
    </row>
    <row r="26">
      <c r="A26" s="43" t="n">
        <v>46267</v>
      </c>
      <c r="B26" s="44" t="inlineStr">
        <is>
          <t>Вечерняя</t>
        </is>
      </c>
      <c r="C26" s="44" t="inlineStr">
        <is>
          <t>Сварка</t>
        </is>
      </c>
      <c r="D26" s="44" t="inlineStr">
        <is>
          <t>WLD-02</t>
        </is>
      </c>
      <c r="E26" s="44" t="inlineStr">
        <is>
          <t>Попов В.Р.</t>
        </is>
      </c>
      <c r="F26" s="45" t="n">
        <v>6.33</v>
      </c>
      <c r="G26" s="46" t="n">
        <v>100</v>
      </c>
      <c r="H26" s="44" t="inlineStr">
        <is>
          <t>Переналадка</t>
        </is>
      </c>
    </row>
    <row r="27">
      <c r="A27" s="43" t="n">
        <v>46267</v>
      </c>
      <c r="B27" s="44" t="inlineStr">
        <is>
          <t>Дневная</t>
        </is>
      </c>
      <c r="C27" s="44" t="inlineStr">
        <is>
          <t>Сборка</t>
        </is>
      </c>
      <c r="D27" s="44" t="inlineStr">
        <is>
          <t>ASM-01</t>
        </is>
      </c>
      <c r="E27" s="44" t="inlineStr">
        <is>
          <t>Волков О.Л.</t>
        </is>
      </c>
      <c r="F27" s="45" t="n">
        <v>6.92</v>
      </c>
      <c r="G27" s="46" t="n">
        <v>65</v>
      </c>
      <c r="H27" s="44" t="inlineStr">
        <is>
          <t>Контроль качества</t>
        </is>
      </c>
    </row>
    <row r="28">
      <c r="A28" s="43" t="n">
        <v>46267</v>
      </c>
      <c r="B28" s="44" t="inlineStr">
        <is>
          <t>Дневная</t>
        </is>
      </c>
      <c r="C28" s="44" t="inlineStr">
        <is>
          <t>Сборка</t>
        </is>
      </c>
      <c r="D28" s="44" t="inlineStr">
        <is>
          <t>ASM-02</t>
        </is>
      </c>
      <c r="E28" s="44" t="inlineStr">
        <is>
          <t>Попов А.Л.</t>
        </is>
      </c>
      <c r="F28" s="45" t="n">
        <v>8</v>
      </c>
      <c r="G28" s="46" t="n">
        <v>0</v>
      </c>
      <c r="H28" s="44" t="n"/>
    </row>
    <row r="29">
      <c r="A29" s="43" t="n">
        <v>46267</v>
      </c>
      <c r="B29" s="44" t="inlineStr">
        <is>
          <t>Дневная</t>
        </is>
      </c>
      <c r="C29" s="44" t="inlineStr">
        <is>
          <t>Мехобработка</t>
        </is>
      </c>
      <c r="D29" s="44" t="inlineStr">
        <is>
          <t>CNC-01</t>
        </is>
      </c>
      <c r="E29" s="44" t="inlineStr">
        <is>
          <t>Михайлов К.Д.</t>
        </is>
      </c>
      <c r="F29" s="45" t="n">
        <v>5.67</v>
      </c>
      <c r="G29" s="46" t="n">
        <v>140</v>
      </c>
      <c r="H29" s="44" t="inlineStr">
        <is>
          <t>Поломка</t>
        </is>
      </c>
    </row>
    <row r="30">
      <c r="A30" s="43" t="n">
        <v>46267</v>
      </c>
      <c r="B30" s="44" t="inlineStr">
        <is>
          <t>Дневная</t>
        </is>
      </c>
      <c r="C30" s="44" t="inlineStr">
        <is>
          <t>Мехобработка</t>
        </is>
      </c>
      <c r="D30" s="44" t="inlineStr">
        <is>
          <t>CNC-02</t>
        </is>
      </c>
      <c r="E30" s="44" t="inlineStr">
        <is>
          <t>Морозов Л.Д.</t>
        </is>
      </c>
      <c r="F30" s="45" t="n">
        <v>6.42</v>
      </c>
      <c r="G30" s="46" t="n">
        <v>95</v>
      </c>
      <c r="H30" s="44" t="inlineStr">
        <is>
          <t>Поломка</t>
        </is>
      </c>
    </row>
    <row r="31">
      <c r="A31" s="43" t="n">
        <v>46267</v>
      </c>
      <c r="B31" s="44" t="inlineStr">
        <is>
          <t>Дневная</t>
        </is>
      </c>
      <c r="C31" s="44" t="inlineStr">
        <is>
          <t>Мехобработка</t>
        </is>
      </c>
      <c r="D31" s="44" t="inlineStr">
        <is>
          <t>CNC-03</t>
        </is>
      </c>
      <c r="E31" s="44" t="inlineStr">
        <is>
          <t>Николаев О.И.</t>
        </is>
      </c>
      <c r="F31" s="45" t="n">
        <v>8</v>
      </c>
      <c r="G31" s="46" t="n">
        <v>0</v>
      </c>
      <c r="H31" s="44" t="n"/>
    </row>
    <row r="32">
      <c r="A32" s="43" t="n">
        <v>46267</v>
      </c>
      <c r="B32" s="44" t="inlineStr">
        <is>
          <t>Дневная</t>
        </is>
      </c>
      <c r="C32" s="44" t="inlineStr">
        <is>
          <t>Покраска</t>
        </is>
      </c>
      <c r="D32" s="44" t="inlineStr">
        <is>
          <t>PNT-01</t>
        </is>
      </c>
      <c r="E32" s="44" t="inlineStr">
        <is>
          <t>Смирнов С.Г.</t>
        </is>
      </c>
      <c r="F32" s="45" t="n">
        <v>8</v>
      </c>
      <c r="G32" s="46" t="n">
        <v>0</v>
      </c>
      <c r="H32" s="44" t="n"/>
    </row>
    <row r="33">
      <c r="A33" s="43" t="n">
        <v>46267</v>
      </c>
      <c r="B33" s="44" t="inlineStr">
        <is>
          <t>Дневная</t>
        </is>
      </c>
      <c r="C33" s="44" t="inlineStr">
        <is>
          <t>Сварка</t>
        </is>
      </c>
      <c r="D33" s="44" t="inlineStr">
        <is>
          <t>WLD-01</t>
        </is>
      </c>
      <c r="E33" s="44" t="inlineStr">
        <is>
          <t>Фёдоров В.К.</t>
        </is>
      </c>
      <c r="F33" s="45" t="n">
        <v>5</v>
      </c>
      <c r="G33" s="46" t="n">
        <v>180</v>
      </c>
      <c r="H33" s="44" t="inlineStr">
        <is>
          <t>Нет материала</t>
        </is>
      </c>
    </row>
    <row r="34">
      <c r="A34" s="43" t="n">
        <v>46267</v>
      </c>
      <c r="B34" s="44" t="inlineStr">
        <is>
          <t>Дневная</t>
        </is>
      </c>
      <c r="C34" s="44" t="inlineStr">
        <is>
          <t>Сварка</t>
        </is>
      </c>
      <c r="D34" s="44" t="inlineStr">
        <is>
          <t>WLD-02</t>
        </is>
      </c>
      <c r="E34" s="44" t="inlineStr">
        <is>
          <t>Кузнецов П.Г.</t>
        </is>
      </c>
      <c r="F34" s="45" t="n">
        <v>7.58</v>
      </c>
      <c r="G34" s="46" t="n">
        <v>25</v>
      </c>
      <c r="H34" s="44" t="inlineStr">
        <is>
          <t>Замена инструмента</t>
        </is>
      </c>
    </row>
    <row r="35">
      <c r="A35" s="43" t="n">
        <v>46267</v>
      </c>
      <c r="B35" s="44" t="inlineStr">
        <is>
          <t>Ночная</t>
        </is>
      </c>
      <c r="C35" s="44" t="inlineStr">
        <is>
          <t>Мехобработка</t>
        </is>
      </c>
      <c r="D35" s="44" t="inlineStr">
        <is>
          <t>CNC-01</t>
        </is>
      </c>
      <c r="E35" s="44" t="inlineStr">
        <is>
          <t>Соколов Н.Г.</t>
        </is>
      </c>
      <c r="F35" s="45" t="n">
        <v>4.67</v>
      </c>
      <c r="G35" s="46" t="n">
        <v>200</v>
      </c>
      <c r="H35" s="44" t="inlineStr">
        <is>
          <t>Нет материала</t>
        </is>
      </c>
    </row>
    <row r="36">
      <c r="A36" s="43" t="n">
        <v>46267</v>
      </c>
      <c r="B36" s="44" t="inlineStr">
        <is>
          <t>Ночная</t>
        </is>
      </c>
      <c r="C36" s="44" t="inlineStr">
        <is>
          <t>Мехобработка</t>
        </is>
      </c>
      <c r="D36" s="44" t="inlineStr">
        <is>
          <t>CNC-02</t>
        </is>
      </c>
      <c r="E36" s="44" t="inlineStr">
        <is>
          <t>Михайлов С.Л.</t>
        </is>
      </c>
      <c r="F36" s="45" t="n">
        <v>5.83</v>
      </c>
      <c r="G36" s="46" t="n">
        <v>130</v>
      </c>
      <c r="H36" s="44" t="inlineStr">
        <is>
          <t>Поломка</t>
        </is>
      </c>
    </row>
    <row r="37">
      <c r="A37" s="43" t="n">
        <v>46267</v>
      </c>
      <c r="B37" s="44" t="inlineStr">
        <is>
          <t>Ночная</t>
        </is>
      </c>
      <c r="C37" s="44" t="inlineStr">
        <is>
          <t>Мехобработка</t>
        </is>
      </c>
      <c r="D37" s="44" t="inlineStr">
        <is>
          <t>CNC-03</t>
        </is>
      </c>
      <c r="E37" s="44" t="inlineStr">
        <is>
          <t>Иванов Е.Р.</t>
        </is>
      </c>
      <c r="F37" s="45" t="n">
        <v>8</v>
      </c>
      <c r="G37" s="46" t="n">
        <v>0</v>
      </c>
      <c r="H37" s="44" t="n"/>
    </row>
    <row r="38">
      <c r="A38" s="43" t="n">
        <v>46268</v>
      </c>
      <c r="B38" s="44" t="inlineStr">
        <is>
          <t>Вечерняя</t>
        </is>
      </c>
      <c r="C38" s="44" t="inlineStr">
        <is>
          <t>Сборка</t>
        </is>
      </c>
      <c r="D38" s="44" t="inlineStr">
        <is>
          <t>ASM-01</t>
        </is>
      </c>
      <c r="E38" s="44" t="inlineStr">
        <is>
          <t>Кузнецов Б.К.</t>
        </is>
      </c>
      <c r="F38" s="45" t="n">
        <v>6.42</v>
      </c>
      <c r="G38" s="46" t="n">
        <v>95</v>
      </c>
      <c r="H38" s="44" t="inlineStr">
        <is>
          <t>Переналадка</t>
        </is>
      </c>
    </row>
    <row r="39">
      <c r="A39" s="43" t="n">
        <v>46268</v>
      </c>
      <c r="B39" s="44" t="inlineStr">
        <is>
          <t>Вечерняя</t>
        </is>
      </c>
      <c r="C39" s="44" t="inlineStr">
        <is>
          <t>Сборка</t>
        </is>
      </c>
      <c r="D39" s="44" t="inlineStr">
        <is>
          <t>ASM-02</t>
        </is>
      </c>
      <c r="E39" s="44" t="inlineStr">
        <is>
          <t>Козлов И.Р.</t>
        </is>
      </c>
      <c r="F39" s="45" t="n">
        <v>6.17</v>
      </c>
      <c r="G39" s="46" t="n">
        <v>110</v>
      </c>
      <c r="H39" s="44" t="inlineStr">
        <is>
          <t>Плановое ТО</t>
        </is>
      </c>
    </row>
    <row r="40">
      <c r="A40" s="43" t="n">
        <v>46268</v>
      </c>
      <c r="B40" s="44" t="inlineStr">
        <is>
          <t>Вечерняя</t>
        </is>
      </c>
      <c r="C40" s="44" t="inlineStr">
        <is>
          <t>Мехобработка</t>
        </is>
      </c>
      <c r="D40" s="44" t="inlineStr">
        <is>
          <t>CNC-01</t>
        </is>
      </c>
      <c r="E40" s="44" t="inlineStr">
        <is>
          <t>Алексеев В.М.</t>
        </is>
      </c>
      <c r="F40" s="45" t="n">
        <v>6.75</v>
      </c>
      <c r="G40" s="46" t="n">
        <v>75</v>
      </c>
      <c r="H40" s="44" t="inlineStr">
        <is>
          <t>Переналадка</t>
        </is>
      </c>
    </row>
    <row r="41">
      <c r="A41" s="43" t="n">
        <v>46268</v>
      </c>
      <c r="B41" s="44" t="inlineStr">
        <is>
          <t>Вечерняя</t>
        </is>
      </c>
      <c r="C41" s="44" t="inlineStr">
        <is>
          <t>Мехобработка</t>
        </is>
      </c>
      <c r="D41" s="44" t="inlineStr">
        <is>
          <t>CNC-02</t>
        </is>
      </c>
      <c r="E41" s="44" t="inlineStr">
        <is>
          <t>Смирнов А.В.</t>
        </is>
      </c>
      <c r="F41" s="45" t="n">
        <v>7.75</v>
      </c>
      <c r="G41" s="46" t="n">
        <v>15</v>
      </c>
      <c r="H41" s="44" t="inlineStr">
        <is>
          <t>Контроль качества</t>
        </is>
      </c>
    </row>
    <row r="42">
      <c r="A42" s="43" t="n">
        <v>46268</v>
      </c>
      <c r="B42" s="44" t="inlineStr">
        <is>
          <t>Вечерняя</t>
        </is>
      </c>
      <c r="C42" s="44" t="inlineStr">
        <is>
          <t>Мехобработка</t>
        </is>
      </c>
      <c r="D42" s="44" t="inlineStr">
        <is>
          <t>CNC-03</t>
        </is>
      </c>
      <c r="E42" s="44" t="inlineStr">
        <is>
          <t>Попов П.Л.</t>
        </is>
      </c>
      <c r="F42" s="45" t="n">
        <v>4.5</v>
      </c>
      <c r="G42" s="46" t="n">
        <v>210</v>
      </c>
      <c r="H42" s="44" t="inlineStr">
        <is>
          <t>Поломка</t>
        </is>
      </c>
    </row>
    <row r="43">
      <c r="A43" s="43" t="n">
        <v>46268</v>
      </c>
      <c r="B43" s="44" t="inlineStr">
        <is>
          <t>Вечерняя</t>
        </is>
      </c>
      <c r="C43" s="44" t="inlineStr">
        <is>
          <t>Сварка</t>
        </is>
      </c>
      <c r="D43" s="44" t="inlineStr">
        <is>
          <t>WLD-01</t>
        </is>
      </c>
      <c r="E43" s="44" t="inlineStr">
        <is>
          <t>Соколов К.А.</t>
        </is>
      </c>
      <c r="F43" s="45" t="n">
        <v>7.67</v>
      </c>
      <c r="G43" s="46" t="n">
        <v>20</v>
      </c>
      <c r="H43" s="44" t="inlineStr">
        <is>
          <t>Контроль качества</t>
        </is>
      </c>
    </row>
    <row r="44">
      <c r="A44" s="43" t="n">
        <v>46268</v>
      </c>
      <c r="B44" s="44" t="inlineStr">
        <is>
          <t>Вечерняя</t>
        </is>
      </c>
      <c r="C44" s="44" t="inlineStr">
        <is>
          <t>Сварка</t>
        </is>
      </c>
      <c r="D44" s="44" t="inlineStr">
        <is>
          <t>WLD-02</t>
        </is>
      </c>
      <c r="E44" s="44" t="inlineStr">
        <is>
          <t>Попов В.Р.</t>
        </is>
      </c>
      <c r="F44" s="45" t="n">
        <v>7.25</v>
      </c>
      <c r="G44" s="46" t="n">
        <v>45</v>
      </c>
      <c r="H44" s="44" t="inlineStr">
        <is>
          <t>Переналадка</t>
        </is>
      </c>
    </row>
    <row r="45">
      <c r="A45" s="43" t="n">
        <v>46268</v>
      </c>
      <c r="B45" s="44" t="inlineStr">
        <is>
          <t>Дневная</t>
        </is>
      </c>
      <c r="C45" s="44" t="inlineStr">
        <is>
          <t>Сборка</t>
        </is>
      </c>
      <c r="D45" s="44" t="inlineStr">
        <is>
          <t>ASM-01</t>
        </is>
      </c>
      <c r="E45" s="44" t="inlineStr">
        <is>
          <t>Волков О.Л.</t>
        </is>
      </c>
      <c r="F45" s="45" t="n">
        <v>8</v>
      </c>
      <c r="G45" s="46" t="n">
        <v>0</v>
      </c>
      <c r="H45" s="44" t="n"/>
    </row>
    <row r="46">
      <c r="A46" s="43" t="n">
        <v>46268</v>
      </c>
      <c r="B46" s="44" t="inlineStr">
        <is>
          <t>Дневная</t>
        </is>
      </c>
      <c r="C46" s="44" t="inlineStr">
        <is>
          <t>Сборка</t>
        </is>
      </c>
      <c r="D46" s="44" t="inlineStr">
        <is>
          <t>ASM-02</t>
        </is>
      </c>
      <c r="E46" s="44" t="inlineStr">
        <is>
          <t>Попов А.Л.</t>
        </is>
      </c>
      <c r="F46" s="45" t="n">
        <v>4.92</v>
      </c>
      <c r="G46" s="46" t="n">
        <v>185</v>
      </c>
      <c r="H46" s="44" t="inlineStr">
        <is>
          <t>Поломка</t>
        </is>
      </c>
    </row>
    <row r="47">
      <c r="A47" s="43" t="n">
        <v>46268</v>
      </c>
      <c r="B47" s="44" t="inlineStr">
        <is>
          <t>Дневная</t>
        </is>
      </c>
      <c r="C47" s="44" t="inlineStr">
        <is>
          <t>Мехобработка</t>
        </is>
      </c>
      <c r="D47" s="44" t="inlineStr">
        <is>
          <t>CNC-01</t>
        </is>
      </c>
      <c r="E47" s="44" t="inlineStr">
        <is>
          <t>Михайлов К.Д.</t>
        </is>
      </c>
      <c r="F47" s="45" t="n">
        <v>8</v>
      </c>
      <c r="G47" s="46" t="n">
        <v>0</v>
      </c>
      <c r="H47" s="44" t="n"/>
    </row>
    <row r="48">
      <c r="A48" s="43" t="n">
        <v>46268</v>
      </c>
      <c r="B48" s="44" t="inlineStr">
        <is>
          <t>Дневная</t>
        </is>
      </c>
      <c r="C48" s="44" t="inlineStr">
        <is>
          <t>Мехобработка</t>
        </is>
      </c>
      <c r="D48" s="44" t="inlineStr">
        <is>
          <t>CNC-02</t>
        </is>
      </c>
      <c r="E48" s="44" t="inlineStr">
        <is>
          <t>Морозов Л.Д.</t>
        </is>
      </c>
      <c r="F48" s="45" t="n">
        <v>4.75</v>
      </c>
      <c r="G48" s="46" t="n">
        <v>195</v>
      </c>
      <c r="H48" s="44" t="inlineStr">
        <is>
          <t>Нет материала</t>
        </is>
      </c>
    </row>
    <row r="49">
      <c r="A49" s="43" t="n">
        <v>46268</v>
      </c>
      <c r="B49" s="44" t="inlineStr">
        <is>
          <t>Дневная</t>
        </is>
      </c>
      <c r="C49" s="44" t="inlineStr">
        <is>
          <t>Мехобработка</t>
        </is>
      </c>
      <c r="D49" s="44" t="inlineStr">
        <is>
          <t>CNC-03</t>
        </is>
      </c>
      <c r="E49" s="44" t="inlineStr">
        <is>
          <t>Николаев О.И.</t>
        </is>
      </c>
      <c r="F49" s="45" t="n">
        <v>8</v>
      </c>
      <c r="G49" s="46" t="n">
        <v>0</v>
      </c>
      <c r="H49" s="44" t="n"/>
    </row>
    <row r="50">
      <c r="A50" s="43" t="n">
        <v>46268</v>
      </c>
      <c r="B50" s="44" t="inlineStr">
        <is>
          <t>Дневная</t>
        </is>
      </c>
      <c r="C50" s="44" t="inlineStr">
        <is>
          <t>Покраска</t>
        </is>
      </c>
      <c r="D50" s="44" t="inlineStr">
        <is>
          <t>PNT-01</t>
        </is>
      </c>
      <c r="E50" s="44" t="inlineStr">
        <is>
          <t>Смирнов С.Г.</t>
        </is>
      </c>
      <c r="F50" s="45" t="n">
        <v>8</v>
      </c>
      <c r="G50" s="46" t="n">
        <v>0</v>
      </c>
      <c r="H50" s="44" t="n"/>
    </row>
    <row r="51">
      <c r="A51" s="43" t="n">
        <v>46268</v>
      </c>
      <c r="B51" s="44" t="inlineStr">
        <is>
          <t>Дневная</t>
        </is>
      </c>
      <c r="C51" s="44" t="inlineStr">
        <is>
          <t>Сварка</t>
        </is>
      </c>
      <c r="D51" s="44" t="inlineStr">
        <is>
          <t>WLD-01</t>
        </is>
      </c>
      <c r="E51" s="44" t="inlineStr">
        <is>
          <t>Фёдоров В.К.</t>
        </is>
      </c>
      <c r="F51" s="45" t="n">
        <v>5.58</v>
      </c>
      <c r="G51" s="46" t="n">
        <v>145</v>
      </c>
      <c r="H51" s="44" t="inlineStr">
        <is>
          <t>Нет материала</t>
        </is>
      </c>
    </row>
    <row r="52">
      <c r="A52" s="43" t="n">
        <v>46268</v>
      </c>
      <c r="B52" s="44" t="inlineStr">
        <is>
          <t>Дневная</t>
        </is>
      </c>
      <c r="C52" s="44" t="inlineStr">
        <is>
          <t>Сварка</t>
        </is>
      </c>
      <c r="D52" s="44" t="inlineStr">
        <is>
          <t>WLD-02</t>
        </is>
      </c>
      <c r="E52" s="44" t="inlineStr">
        <is>
          <t>Кузнецов П.Г.</t>
        </is>
      </c>
      <c r="F52" s="45" t="n">
        <v>8</v>
      </c>
      <c r="G52" s="46" t="n">
        <v>0</v>
      </c>
      <c r="H52" s="44" t="n"/>
    </row>
    <row r="53">
      <c r="A53" s="43" t="n">
        <v>46268</v>
      </c>
      <c r="B53" s="44" t="inlineStr">
        <is>
          <t>Ночная</t>
        </is>
      </c>
      <c r="C53" s="44" t="inlineStr">
        <is>
          <t>Мехобработка</t>
        </is>
      </c>
      <c r="D53" s="44" t="inlineStr">
        <is>
          <t>CNC-01</t>
        </is>
      </c>
      <c r="E53" s="44" t="inlineStr">
        <is>
          <t>Соколов Н.Г.</t>
        </is>
      </c>
      <c r="F53" s="45" t="n">
        <v>6.08</v>
      </c>
      <c r="G53" s="46" t="n">
        <v>115</v>
      </c>
      <c r="H53" s="44" t="inlineStr">
        <is>
          <t>Плановое ТО</t>
        </is>
      </c>
    </row>
    <row r="54">
      <c r="A54" s="43" t="n">
        <v>46268</v>
      </c>
      <c r="B54" s="44" t="inlineStr">
        <is>
          <t>Ночная</t>
        </is>
      </c>
      <c r="C54" s="44" t="inlineStr">
        <is>
          <t>Мехобработка</t>
        </is>
      </c>
      <c r="D54" s="44" t="inlineStr">
        <is>
          <t>CNC-02</t>
        </is>
      </c>
      <c r="E54" s="44" t="inlineStr">
        <is>
          <t>Михайлов С.Л.</t>
        </is>
      </c>
      <c r="F54" s="45" t="n">
        <v>8</v>
      </c>
      <c r="G54" s="46" t="n">
        <v>0</v>
      </c>
      <c r="H54" s="44" t="n"/>
    </row>
    <row r="55">
      <c r="A55" s="43" t="n">
        <v>46268</v>
      </c>
      <c r="B55" s="44" t="inlineStr">
        <is>
          <t>Ночная</t>
        </is>
      </c>
      <c r="C55" s="44" t="inlineStr">
        <is>
          <t>Мехобработка</t>
        </is>
      </c>
      <c r="D55" s="44" t="inlineStr">
        <is>
          <t>CNC-03</t>
        </is>
      </c>
      <c r="E55" s="44" t="inlineStr">
        <is>
          <t>Иванов Е.Р.</t>
        </is>
      </c>
      <c r="F55" s="45" t="n">
        <v>6.42</v>
      </c>
      <c r="G55" s="46" t="n">
        <v>95</v>
      </c>
      <c r="H55" s="44" t="inlineStr">
        <is>
          <t>Плановое ТО</t>
        </is>
      </c>
    </row>
    <row r="56">
      <c r="A56" s="43" t="n">
        <v>46269</v>
      </c>
      <c r="B56" s="44" t="inlineStr">
        <is>
          <t>Вечерняя</t>
        </is>
      </c>
      <c r="C56" s="44" t="inlineStr">
        <is>
          <t>Сборка</t>
        </is>
      </c>
      <c r="D56" s="44" t="inlineStr">
        <is>
          <t>ASM-01</t>
        </is>
      </c>
      <c r="E56" s="44" t="inlineStr">
        <is>
          <t>Кузнецов Б.К.</t>
        </is>
      </c>
      <c r="F56" s="45" t="n">
        <v>8</v>
      </c>
      <c r="G56" s="46" t="n">
        <v>0</v>
      </c>
      <c r="H56" s="44" t="n"/>
    </row>
    <row r="57">
      <c r="A57" s="43" t="n">
        <v>46269</v>
      </c>
      <c r="B57" s="44" t="inlineStr">
        <is>
          <t>Вечерняя</t>
        </is>
      </c>
      <c r="C57" s="44" t="inlineStr">
        <is>
          <t>Сборка</t>
        </is>
      </c>
      <c r="D57" s="44" t="inlineStr">
        <is>
          <t>ASM-02</t>
        </is>
      </c>
      <c r="E57" s="44" t="inlineStr">
        <is>
          <t>Козлов И.Р.</t>
        </is>
      </c>
      <c r="F57" s="45" t="n">
        <v>8</v>
      </c>
      <c r="G57" s="46" t="n">
        <v>0</v>
      </c>
      <c r="H57" s="44" t="n"/>
    </row>
    <row r="58">
      <c r="A58" s="43" t="n">
        <v>46269</v>
      </c>
      <c r="B58" s="44" t="inlineStr">
        <is>
          <t>Вечерняя</t>
        </is>
      </c>
      <c r="C58" s="44" t="inlineStr">
        <is>
          <t>Мехобработка</t>
        </is>
      </c>
      <c r="D58" s="44" t="inlineStr">
        <is>
          <t>CNC-01</t>
        </is>
      </c>
      <c r="E58" s="44" t="inlineStr">
        <is>
          <t>Алексеев В.М.</t>
        </is>
      </c>
      <c r="F58" s="45" t="n">
        <v>5.5</v>
      </c>
      <c r="G58" s="46" t="n">
        <v>150</v>
      </c>
      <c r="H58" s="44" t="inlineStr">
        <is>
          <t>Плановое ТО</t>
        </is>
      </c>
    </row>
    <row r="59">
      <c r="A59" s="43" t="n">
        <v>46269</v>
      </c>
      <c r="B59" s="44" t="inlineStr">
        <is>
          <t>Вечерняя</t>
        </is>
      </c>
      <c r="C59" s="44" t="inlineStr">
        <is>
          <t>Мехобработка</t>
        </is>
      </c>
      <c r="D59" s="44" t="inlineStr">
        <is>
          <t>CNC-02</t>
        </is>
      </c>
      <c r="E59" s="44" t="inlineStr">
        <is>
          <t>Смирнов А.В.</t>
        </is>
      </c>
      <c r="F59" s="45" t="n">
        <v>7.08</v>
      </c>
      <c r="G59" s="46" t="n">
        <v>55</v>
      </c>
      <c r="H59" s="44" t="inlineStr">
        <is>
          <t>Переналадка</t>
        </is>
      </c>
    </row>
    <row r="60">
      <c r="A60" s="43" t="n">
        <v>46269</v>
      </c>
      <c r="B60" s="44" t="inlineStr">
        <is>
          <t>Вечерняя</t>
        </is>
      </c>
      <c r="C60" s="44" t="inlineStr">
        <is>
          <t>Мехобработка</t>
        </is>
      </c>
      <c r="D60" s="44" t="inlineStr">
        <is>
          <t>CNC-03</t>
        </is>
      </c>
      <c r="E60" s="44" t="inlineStr">
        <is>
          <t>Попов П.Л.</t>
        </is>
      </c>
      <c r="F60" s="45" t="n">
        <v>6.58</v>
      </c>
      <c r="G60" s="46" t="n">
        <v>85</v>
      </c>
      <c r="H60" s="44" t="inlineStr">
        <is>
          <t>Нет материала</t>
        </is>
      </c>
    </row>
    <row r="61">
      <c r="A61" s="43" t="n">
        <v>46269</v>
      </c>
      <c r="B61" s="44" t="inlineStr">
        <is>
          <t>Вечерняя</t>
        </is>
      </c>
      <c r="C61" s="44" t="inlineStr">
        <is>
          <t>Сварка</t>
        </is>
      </c>
      <c r="D61" s="44" t="inlineStr">
        <is>
          <t>WLD-01</t>
        </is>
      </c>
      <c r="E61" s="44" t="inlineStr">
        <is>
          <t>Соколов К.А.</t>
        </is>
      </c>
      <c r="F61" s="45" t="n">
        <v>7.08</v>
      </c>
      <c r="G61" s="46" t="n">
        <v>55</v>
      </c>
      <c r="H61" s="44" t="inlineStr">
        <is>
          <t>Переналадка</t>
        </is>
      </c>
    </row>
    <row r="62">
      <c r="A62" s="43" t="n">
        <v>46269</v>
      </c>
      <c r="B62" s="44" t="inlineStr">
        <is>
          <t>Вечерняя</t>
        </is>
      </c>
      <c r="C62" s="44" t="inlineStr">
        <is>
          <t>Сварка</t>
        </is>
      </c>
      <c r="D62" s="44" t="inlineStr">
        <is>
          <t>WLD-02</t>
        </is>
      </c>
      <c r="E62" s="44" t="inlineStr">
        <is>
          <t>Попов В.Р.</t>
        </is>
      </c>
      <c r="F62" s="45" t="n">
        <v>8</v>
      </c>
      <c r="G62" s="46" t="n">
        <v>0</v>
      </c>
      <c r="H62" s="44" t="n"/>
    </row>
    <row r="63">
      <c r="A63" s="43" t="n">
        <v>46269</v>
      </c>
      <c r="B63" s="44" t="inlineStr">
        <is>
          <t>Дневная</t>
        </is>
      </c>
      <c r="C63" s="44" t="inlineStr">
        <is>
          <t>Сборка</t>
        </is>
      </c>
      <c r="D63" s="44" t="inlineStr">
        <is>
          <t>ASM-01</t>
        </is>
      </c>
      <c r="E63" s="44" t="inlineStr">
        <is>
          <t>Волков О.Л.</t>
        </is>
      </c>
      <c r="F63" s="45" t="n">
        <v>8</v>
      </c>
      <c r="G63" s="46" t="n">
        <v>0</v>
      </c>
      <c r="H63" s="44" t="n"/>
    </row>
    <row r="64">
      <c r="A64" s="43" t="n">
        <v>46269</v>
      </c>
      <c r="B64" s="44" t="inlineStr">
        <is>
          <t>Дневная</t>
        </is>
      </c>
      <c r="C64" s="44" t="inlineStr">
        <is>
          <t>Сборка</t>
        </is>
      </c>
      <c r="D64" s="44" t="inlineStr">
        <is>
          <t>ASM-02</t>
        </is>
      </c>
      <c r="E64" s="44" t="inlineStr">
        <is>
          <t>Попов А.Л.</t>
        </is>
      </c>
      <c r="F64" s="45" t="n">
        <v>7.33</v>
      </c>
      <c r="G64" s="46" t="n">
        <v>40</v>
      </c>
      <c r="H64" s="44" t="inlineStr">
        <is>
          <t>Переналадка</t>
        </is>
      </c>
    </row>
    <row r="65">
      <c r="A65" s="43" t="n">
        <v>46269</v>
      </c>
      <c r="B65" s="44" t="inlineStr">
        <is>
          <t>Дневная</t>
        </is>
      </c>
      <c r="C65" s="44" t="inlineStr">
        <is>
          <t>Мехобработка</t>
        </is>
      </c>
      <c r="D65" s="44" t="inlineStr">
        <is>
          <t>CNC-01</t>
        </is>
      </c>
      <c r="E65" s="44" t="inlineStr">
        <is>
          <t>Михайлов К.Д.</t>
        </is>
      </c>
      <c r="F65" s="45" t="n">
        <v>6.17</v>
      </c>
      <c r="G65" s="46" t="n">
        <v>110</v>
      </c>
      <c r="H65" s="44" t="inlineStr">
        <is>
          <t>Переналадка</t>
        </is>
      </c>
    </row>
    <row r="66">
      <c r="A66" s="43" t="n">
        <v>46269</v>
      </c>
      <c r="B66" s="44" t="inlineStr">
        <is>
          <t>Дневная</t>
        </is>
      </c>
      <c r="C66" s="44" t="inlineStr">
        <is>
          <t>Мехобработка</t>
        </is>
      </c>
      <c r="D66" s="44" t="inlineStr">
        <is>
          <t>CNC-02</t>
        </is>
      </c>
      <c r="E66" s="44" t="inlineStr">
        <is>
          <t>Морозов Л.Д.</t>
        </is>
      </c>
      <c r="F66" s="45" t="n">
        <v>2.33</v>
      </c>
      <c r="G66" s="46" t="n">
        <v>340</v>
      </c>
      <c r="H66" s="44" t="inlineStr">
        <is>
          <t>Не указана</t>
        </is>
      </c>
    </row>
    <row r="67">
      <c r="A67" s="43" t="n">
        <v>46269</v>
      </c>
      <c r="B67" s="44" t="inlineStr">
        <is>
          <t>Дневная</t>
        </is>
      </c>
      <c r="C67" s="44" t="inlineStr">
        <is>
          <t>Мехобработка</t>
        </is>
      </c>
      <c r="D67" s="44" t="inlineStr">
        <is>
          <t>CNC-03</t>
        </is>
      </c>
      <c r="E67" s="44" t="inlineStr">
        <is>
          <t>Николаев О.И.</t>
        </is>
      </c>
      <c r="F67" s="45" t="n">
        <v>4.92</v>
      </c>
      <c r="G67" s="46" t="n">
        <v>185</v>
      </c>
      <c r="H67" s="44" t="inlineStr">
        <is>
          <t>Нет материала</t>
        </is>
      </c>
    </row>
    <row r="68">
      <c r="A68" s="43" t="n">
        <v>46269</v>
      </c>
      <c r="B68" s="44" t="inlineStr">
        <is>
          <t>Дневная</t>
        </is>
      </c>
      <c r="C68" s="44" t="inlineStr">
        <is>
          <t>Покраска</t>
        </is>
      </c>
      <c r="D68" s="44" t="inlineStr">
        <is>
          <t>PNT-01</t>
        </is>
      </c>
      <c r="E68" s="44" t="inlineStr">
        <is>
          <t>Смирнов С.Г.</t>
        </is>
      </c>
      <c r="F68" s="45" t="n">
        <v>6.33</v>
      </c>
      <c r="G68" s="46" t="n">
        <v>100</v>
      </c>
      <c r="H68" s="44" t="inlineStr">
        <is>
          <t>Переналадка</t>
        </is>
      </c>
    </row>
    <row r="69">
      <c r="A69" s="43" t="n">
        <v>46269</v>
      </c>
      <c r="B69" s="44" t="inlineStr">
        <is>
          <t>Дневная</t>
        </is>
      </c>
      <c r="C69" s="44" t="inlineStr">
        <is>
          <t>Сварка</t>
        </is>
      </c>
      <c r="D69" s="44" t="inlineStr">
        <is>
          <t>WLD-01</t>
        </is>
      </c>
      <c r="E69" s="44" t="inlineStr">
        <is>
          <t>Фёдоров В.К.</t>
        </is>
      </c>
      <c r="F69" s="45" t="n">
        <v>8</v>
      </c>
      <c r="G69" s="46" t="n">
        <v>0</v>
      </c>
      <c r="H69" s="44" t="n"/>
    </row>
    <row r="70">
      <c r="A70" s="43" t="n">
        <v>46269</v>
      </c>
      <c r="B70" s="44" t="inlineStr">
        <is>
          <t>Дневная</t>
        </is>
      </c>
      <c r="C70" s="44" t="inlineStr">
        <is>
          <t>Сварка</t>
        </is>
      </c>
      <c r="D70" s="44" t="inlineStr">
        <is>
          <t>WLD-02</t>
        </is>
      </c>
      <c r="E70" s="44" t="inlineStr">
        <is>
          <t>Кузнецов П.Г.</t>
        </is>
      </c>
      <c r="F70" s="45" t="n">
        <v>8</v>
      </c>
      <c r="G70" s="46" t="n">
        <v>0</v>
      </c>
      <c r="H70" s="44" t="n"/>
    </row>
    <row r="71">
      <c r="A71" s="43" t="n">
        <v>46269</v>
      </c>
      <c r="B71" s="44" t="inlineStr">
        <is>
          <t>Ночная</t>
        </is>
      </c>
      <c r="C71" s="44" t="inlineStr">
        <is>
          <t>Мехобработка</t>
        </is>
      </c>
      <c r="D71" s="44" t="inlineStr">
        <is>
          <t>CNC-02</t>
        </is>
      </c>
      <c r="E71" s="44" t="inlineStr">
        <is>
          <t>Михайлов С.Л.</t>
        </is>
      </c>
      <c r="F71" s="45" t="n">
        <v>7.67</v>
      </c>
      <c r="G71" s="46" t="n">
        <v>20</v>
      </c>
      <c r="H71" s="44" t="inlineStr">
        <is>
          <t>Контроль качества</t>
        </is>
      </c>
    </row>
    <row r="72">
      <c r="A72" s="43" t="n">
        <v>46270</v>
      </c>
      <c r="B72" s="44" t="inlineStr">
        <is>
          <t>Дневная</t>
        </is>
      </c>
      <c r="C72" s="44" t="inlineStr">
        <is>
          <t>Сборка</t>
        </is>
      </c>
      <c r="D72" s="44" t="inlineStr">
        <is>
          <t>ASM-01</t>
        </is>
      </c>
      <c r="E72" s="44" t="inlineStr">
        <is>
          <t>Волков О.Л.</t>
        </is>
      </c>
      <c r="F72" s="45" t="n">
        <v>7.42</v>
      </c>
      <c r="G72" s="46" t="n">
        <v>35</v>
      </c>
      <c r="H72" s="44" t="inlineStr">
        <is>
          <t>Контроль качества</t>
        </is>
      </c>
    </row>
    <row r="73">
      <c r="A73" s="43" t="n">
        <v>46270</v>
      </c>
      <c r="B73" s="44" t="inlineStr">
        <is>
          <t>Дневная</t>
        </is>
      </c>
      <c r="C73" s="44" t="inlineStr">
        <is>
          <t>Сборка</t>
        </is>
      </c>
      <c r="D73" s="44" t="inlineStr">
        <is>
          <t>ASM-02</t>
        </is>
      </c>
      <c r="E73" s="44" t="inlineStr">
        <is>
          <t>Попов А.Л.</t>
        </is>
      </c>
      <c r="F73" s="45" t="n">
        <v>8</v>
      </c>
      <c r="G73" s="46" t="n">
        <v>0</v>
      </c>
      <c r="H73" s="44" t="n"/>
    </row>
    <row r="74">
      <c r="A74" s="43" t="n">
        <v>46270</v>
      </c>
      <c r="B74" s="44" t="inlineStr">
        <is>
          <t>Дневная</t>
        </is>
      </c>
      <c r="C74" s="44" t="inlineStr">
        <is>
          <t>Мехобработка</t>
        </is>
      </c>
      <c r="D74" s="44" t="inlineStr">
        <is>
          <t>CNC-01</t>
        </is>
      </c>
      <c r="E74" s="44" t="inlineStr">
        <is>
          <t>Михайлов К.Д.</t>
        </is>
      </c>
      <c r="F74" s="45" t="n">
        <v>6.25</v>
      </c>
      <c r="G74" s="46" t="n">
        <v>105</v>
      </c>
      <c r="H74" s="44" t="inlineStr">
        <is>
          <t>Поломка</t>
        </is>
      </c>
    </row>
    <row r="75">
      <c r="A75" s="43" t="n">
        <v>46270</v>
      </c>
      <c r="B75" s="44" t="inlineStr">
        <is>
          <t>Дневная</t>
        </is>
      </c>
      <c r="C75" s="44" t="inlineStr">
        <is>
          <t>Мехобработка</t>
        </is>
      </c>
      <c r="D75" s="44" t="inlineStr">
        <is>
          <t>CNC-02</t>
        </is>
      </c>
      <c r="E75" s="44" t="inlineStr">
        <is>
          <t>Морозов Л.Д.</t>
        </is>
      </c>
      <c r="F75" s="45" t="n">
        <v>8</v>
      </c>
      <c r="G75" s="46" t="n">
        <v>0</v>
      </c>
      <c r="H75" s="44" t="n"/>
    </row>
    <row r="76">
      <c r="A76" s="43" t="n">
        <v>46270</v>
      </c>
      <c r="B76" s="44" t="inlineStr">
        <is>
          <t>Дневная</t>
        </is>
      </c>
      <c r="C76" s="44" t="inlineStr">
        <is>
          <t>Мехобработка</t>
        </is>
      </c>
      <c r="D76" s="44" t="inlineStr">
        <is>
          <t>CNC-03</t>
        </is>
      </c>
      <c r="E76" s="44" t="inlineStr">
        <is>
          <t>Николаев О.И.</t>
        </is>
      </c>
      <c r="F76" s="45" t="n">
        <v>8</v>
      </c>
      <c r="G76" s="46" t="n">
        <v>0</v>
      </c>
      <c r="H76" s="44" t="n"/>
    </row>
    <row r="77">
      <c r="A77" s="43" t="n">
        <v>46270</v>
      </c>
      <c r="B77" s="44" t="inlineStr">
        <is>
          <t>Дневная</t>
        </is>
      </c>
      <c r="C77" s="44" t="inlineStr">
        <is>
          <t>Покраска</t>
        </is>
      </c>
      <c r="D77" s="44" t="inlineStr">
        <is>
          <t>PNT-01</t>
        </is>
      </c>
      <c r="E77" s="44" t="inlineStr">
        <is>
          <t>Смирнов С.Г.</t>
        </is>
      </c>
      <c r="F77" s="45" t="n">
        <v>8</v>
      </c>
      <c r="G77" s="46" t="n">
        <v>0</v>
      </c>
      <c r="H77" s="44" t="n"/>
    </row>
    <row r="78">
      <c r="A78" s="43" t="n">
        <v>46270</v>
      </c>
      <c r="B78" s="44" t="inlineStr">
        <is>
          <t>Дневная</t>
        </is>
      </c>
      <c r="C78" s="44" t="inlineStr">
        <is>
          <t>Сварка</t>
        </is>
      </c>
      <c r="D78" s="44" t="inlineStr">
        <is>
          <t>WLD-01</t>
        </is>
      </c>
      <c r="E78" s="44" t="inlineStr">
        <is>
          <t>Фёдоров В.К.</t>
        </is>
      </c>
      <c r="F78" s="45" t="n">
        <v>8</v>
      </c>
      <c r="G78" s="46" t="n">
        <v>0</v>
      </c>
      <c r="H78" s="44" t="n"/>
    </row>
    <row r="79">
      <c r="A79" s="43" t="n">
        <v>46270</v>
      </c>
      <c r="B79" s="44" t="inlineStr">
        <is>
          <t>Дневная</t>
        </is>
      </c>
      <c r="C79" s="44" t="inlineStr">
        <is>
          <t>Сварка</t>
        </is>
      </c>
      <c r="D79" s="44" t="inlineStr">
        <is>
          <t>WLD-02</t>
        </is>
      </c>
      <c r="E79" s="44" t="inlineStr">
        <is>
          <t>Кузнецов П.Г.</t>
        </is>
      </c>
      <c r="F79" s="45" t="n">
        <v>8</v>
      </c>
      <c r="G79" s="46" t="n">
        <v>0</v>
      </c>
      <c r="H79" s="44" t="n"/>
    </row>
    <row r="80">
      <c r="A80" s="43" t="n">
        <v>46272</v>
      </c>
      <c r="B80" s="44" t="inlineStr">
        <is>
          <t>Вечерняя</t>
        </is>
      </c>
      <c r="C80" s="44" t="inlineStr">
        <is>
          <t>Сборка</t>
        </is>
      </c>
      <c r="D80" s="44" t="inlineStr">
        <is>
          <t>ASM-01</t>
        </is>
      </c>
      <c r="E80" s="44" t="inlineStr">
        <is>
          <t>Кузнецов Б.К.</t>
        </is>
      </c>
      <c r="F80" s="45" t="n">
        <v>5.75</v>
      </c>
      <c r="G80" s="46" t="n">
        <v>135</v>
      </c>
      <c r="H80" s="44" t="inlineStr">
        <is>
          <t>Поломка</t>
        </is>
      </c>
    </row>
    <row r="81">
      <c r="A81" s="43" t="n">
        <v>46272</v>
      </c>
      <c r="B81" s="44" t="inlineStr">
        <is>
          <t>Вечерняя</t>
        </is>
      </c>
      <c r="C81" s="44" t="inlineStr">
        <is>
          <t>Сборка</t>
        </is>
      </c>
      <c r="D81" s="44" t="inlineStr">
        <is>
          <t>ASM-02</t>
        </is>
      </c>
      <c r="E81" s="44" t="inlineStr">
        <is>
          <t>Козлов И.Р.</t>
        </is>
      </c>
      <c r="F81" s="45" t="n">
        <v>8</v>
      </c>
      <c r="G81" s="46" t="n">
        <v>0</v>
      </c>
      <c r="H81" s="44" t="n"/>
    </row>
    <row r="82">
      <c r="A82" s="43" t="n">
        <v>46272</v>
      </c>
      <c r="B82" s="44" t="inlineStr">
        <is>
          <t>Вечерняя</t>
        </is>
      </c>
      <c r="C82" s="44" t="inlineStr">
        <is>
          <t>Мехобработка</t>
        </is>
      </c>
      <c r="D82" s="44" t="inlineStr">
        <is>
          <t>CNC-01</t>
        </is>
      </c>
      <c r="E82" s="44" t="inlineStr">
        <is>
          <t>Алексеев В.М.</t>
        </is>
      </c>
      <c r="F82" s="45" t="n">
        <v>8</v>
      </c>
      <c r="G82" s="46" t="n">
        <v>0</v>
      </c>
      <c r="H82" s="44" t="n"/>
    </row>
    <row r="83">
      <c r="A83" s="43" t="n">
        <v>46272</v>
      </c>
      <c r="B83" s="44" t="inlineStr">
        <is>
          <t>Вечерняя</t>
        </is>
      </c>
      <c r="C83" s="44" t="inlineStr">
        <is>
          <t>Мехобработка</t>
        </is>
      </c>
      <c r="D83" s="44" t="inlineStr">
        <is>
          <t>CNC-02</t>
        </is>
      </c>
      <c r="E83" s="44" t="inlineStr">
        <is>
          <t>Смирнов А.В.</t>
        </is>
      </c>
      <c r="F83" s="45" t="n">
        <v>4.75</v>
      </c>
      <c r="G83" s="46" t="n">
        <v>195</v>
      </c>
      <c r="H83" s="44" t="inlineStr">
        <is>
          <t>Нет материала</t>
        </is>
      </c>
    </row>
    <row r="84">
      <c r="A84" s="43" t="n">
        <v>46272</v>
      </c>
      <c r="B84" s="44" t="inlineStr">
        <is>
          <t>Вечерняя</t>
        </is>
      </c>
      <c r="C84" s="44" t="inlineStr">
        <is>
          <t>Мехобработка</t>
        </is>
      </c>
      <c r="D84" s="44" t="inlineStr">
        <is>
          <t>CNC-03</t>
        </is>
      </c>
      <c r="E84" s="44" t="inlineStr">
        <is>
          <t>Попов П.Л.</t>
        </is>
      </c>
      <c r="F84" s="45" t="n">
        <v>8</v>
      </c>
      <c r="G84" s="46" t="n">
        <v>0</v>
      </c>
      <c r="H84" s="44" t="n"/>
    </row>
    <row r="85">
      <c r="A85" s="43" t="n">
        <v>46272</v>
      </c>
      <c r="B85" s="44" t="inlineStr">
        <is>
          <t>Вечерняя</t>
        </is>
      </c>
      <c r="C85" s="44" t="inlineStr">
        <is>
          <t>Сварка</t>
        </is>
      </c>
      <c r="D85" s="44" t="inlineStr">
        <is>
          <t>WLD-01</t>
        </is>
      </c>
      <c r="E85" s="44" t="inlineStr">
        <is>
          <t>Соколов К.А.</t>
        </is>
      </c>
      <c r="F85" s="45" t="n">
        <v>7.42</v>
      </c>
      <c r="G85" s="46" t="n">
        <v>35</v>
      </c>
      <c r="H85" s="44" t="inlineStr">
        <is>
          <t>Замена инструмента</t>
        </is>
      </c>
    </row>
    <row r="86">
      <c r="A86" s="43" t="n">
        <v>46272</v>
      </c>
      <c r="B86" s="44" t="inlineStr">
        <is>
          <t>Вечерняя</t>
        </is>
      </c>
      <c r="C86" s="44" t="inlineStr">
        <is>
          <t>Сварка</t>
        </is>
      </c>
      <c r="D86" s="44" t="inlineStr">
        <is>
          <t>WLD-02</t>
        </is>
      </c>
      <c r="E86" s="44" t="inlineStr">
        <is>
          <t>Попов В.Р.</t>
        </is>
      </c>
      <c r="F86" s="45" t="n">
        <v>4.83</v>
      </c>
      <c r="G86" s="46" t="n">
        <v>190</v>
      </c>
      <c r="H86" s="44" t="inlineStr">
        <is>
          <t>Нет материала</t>
        </is>
      </c>
    </row>
    <row r="87">
      <c r="A87" s="43" t="n">
        <v>46272</v>
      </c>
      <c r="B87" s="44" t="inlineStr">
        <is>
          <t>Дневная</t>
        </is>
      </c>
      <c r="C87" s="44" t="inlineStr">
        <is>
          <t>Сборка</t>
        </is>
      </c>
      <c r="D87" s="44" t="inlineStr">
        <is>
          <t>ASM-01</t>
        </is>
      </c>
      <c r="E87" s="44" t="inlineStr">
        <is>
          <t>Волков О.Л.</t>
        </is>
      </c>
      <c r="F87" s="45" t="n">
        <v>8</v>
      </c>
      <c r="G87" s="46" t="n">
        <v>0</v>
      </c>
      <c r="H87" s="44" t="n"/>
    </row>
    <row r="88">
      <c r="A88" s="43" t="n">
        <v>46272</v>
      </c>
      <c r="B88" s="44" t="inlineStr">
        <is>
          <t>Дневная</t>
        </is>
      </c>
      <c r="C88" s="44" t="inlineStr">
        <is>
          <t>Сборка</t>
        </is>
      </c>
      <c r="D88" s="44" t="inlineStr">
        <is>
          <t>ASM-02</t>
        </is>
      </c>
      <c r="E88" s="44" t="inlineStr">
        <is>
          <t>Попов А.Л.</t>
        </is>
      </c>
      <c r="F88" s="45" t="n">
        <v>5.67</v>
      </c>
      <c r="G88" s="46" t="n">
        <v>140</v>
      </c>
      <c r="H88" s="44" t="inlineStr">
        <is>
          <t>Плановое ТО</t>
        </is>
      </c>
    </row>
    <row r="89">
      <c r="A89" s="43" t="n">
        <v>46272</v>
      </c>
      <c r="B89" s="44" t="inlineStr">
        <is>
          <t>Дневная</t>
        </is>
      </c>
      <c r="C89" s="44" t="inlineStr">
        <is>
          <t>Мехобработка</t>
        </is>
      </c>
      <c r="D89" s="44" t="inlineStr">
        <is>
          <t>CNC-01</t>
        </is>
      </c>
      <c r="E89" s="44" t="inlineStr">
        <is>
          <t>Михайлов К.Д.</t>
        </is>
      </c>
      <c r="F89" s="45" t="n">
        <v>7.42</v>
      </c>
      <c r="G89" s="46" t="n">
        <v>35</v>
      </c>
      <c r="H89" s="44" t="inlineStr">
        <is>
          <t>Замена инструмента</t>
        </is>
      </c>
    </row>
    <row r="90">
      <c r="A90" s="43" t="n">
        <v>46272</v>
      </c>
      <c r="B90" s="44" t="inlineStr">
        <is>
          <t>Дневная</t>
        </is>
      </c>
      <c r="C90" s="44" t="inlineStr">
        <is>
          <t>Мехобработка</t>
        </is>
      </c>
      <c r="D90" s="44" t="inlineStr">
        <is>
          <t>CNC-02</t>
        </is>
      </c>
      <c r="E90" s="44" t="inlineStr">
        <is>
          <t>Морозов Л.Д.</t>
        </is>
      </c>
      <c r="F90" s="45" t="n">
        <v>8</v>
      </c>
      <c r="G90" s="46" t="n">
        <v>0</v>
      </c>
      <c r="H90" s="44" t="n"/>
    </row>
    <row r="91">
      <c r="A91" s="43" t="n">
        <v>46272</v>
      </c>
      <c r="B91" s="44" t="inlineStr">
        <is>
          <t>Дневная</t>
        </is>
      </c>
      <c r="C91" s="44" t="inlineStr">
        <is>
          <t>Мехобработка</t>
        </is>
      </c>
      <c r="D91" s="44" t="inlineStr">
        <is>
          <t>CNC-03</t>
        </is>
      </c>
      <c r="E91" s="44" t="inlineStr">
        <is>
          <t>Николаев О.И.</t>
        </is>
      </c>
      <c r="F91" s="45" t="n">
        <v>8</v>
      </c>
      <c r="G91" s="46" t="n">
        <v>0</v>
      </c>
      <c r="H91" s="44" t="n"/>
    </row>
    <row r="92">
      <c r="A92" s="43" t="n">
        <v>46272</v>
      </c>
      <c r="B92" s="44" t="inlineStr">
        <is>
          <t>Дневная</t>
        </is>
      </c>
      <c r="C92" s="44" t="inlineStr">
        <is>
          <t>Покраска</t>
        </is>
      </c>
      <c r="D92" s="44" t="inlineStr">
        <is>
          <t>PNT-01</t>
        </is>
      </c>
      <c r="E92" s="44" t="inlineStr">
        <is>
          <t>Смирнов С.Г.</t>
        </is>
      </c>
      <c r="F92" s="45" t="n">
        <v>8</v>
      </c>
      <c r="G92" s="46" t="n">
        <v>0</v>
      </c>
      <c r="H92" s="44" t="n"/>
    </row>
    <row r="93">
      <c r="A93" s="43" t="n">
        <v>46272</v>
      </c>
      <c r="B93" s="44" t="inlineStr">
        <is>
          <t>Дневная</t>
        </is>
      </c>
      <c r="C93" s="44" t="inlineStr">
        <is>
          <t>Сварка</t>
        </is>
      </c>
      <c r="D93" s="44" t="inlineStr">
        <is>
          <t>WLD-01</t>
        </is>
      </c>
      <c r="E93" s="44" t="inlineStr">
        <is>
          <t>Фёдоров В.К.</t>
        </is>
      </c>
      <c r="F93" s="45" t="n">
        <v>6.25</v>
      </c>
      <c r="G93" s="46" t="n">
        <v>105</v>
      </c>
      <c r="H93" s="44" t="inlineStr">
        <is>
          <t>Переналадка</t>
        </is>
      </c>
    </row>
    <row r="94">
      <c r="A94" s="43" t="n">
        <v>46272</v>
      </c>
      <c r="B94" s="44" t="inlineStr">
        <is>
          <t>Дневная</t>
        </is>
      </c>
      <c r="C94" s="44" t="inlineStr">
        <is>
          <t>Сварка</t>
        </is>
      </c>
      <c r="D94" s="44" t="inlineStr">
        <is>
          <t>WLD-02</t>
        </is>
      </c>
      <c r="E94" s="44" t="inlineStr">
        <is>
          <t>Кузнецов П.Г.</t>
        </is>
      </c>
      <c r="F94" s="45" t="n">
        <v>6.25</v>
      </c>
      <c r="G94" s="46" t="n">
        <v>105</v>
      </c>
      <c r="H94" s="44" t="inlineStr">
        <is>
          <t>Нет материала</t>
        </is>
      </c>
    </row>
    <row r="95">
      <c r="A95" s="43" t="n">
        <v>46272</v>
      </c>
      <c r="B95" s="44" t="inlineStr">
        <is>
          <t>Ночная</t>
        </is>
      </c>
      <c r="C95" s="44" t="inlineStr">
        <is>
          <t>Мехобработка</t>
        </is>
      </c>
      <c r="D95" s="44" t="inlineStr">
        <is>
          <t>CNC-01</t>
        </is>
      </c>
      <c r="E95" s="44" t="inlineStr">
        <is>
          <t>Соколов Н.Г.</t>
        </is>
      </c>
      <c r="F95" s="45" t="n">
        <v>6.92</v>
      </c>
      <c r="G95" s="46" t="n">
        <v>65</v>
      </c>
      <c r="H95" s="44" t="inlineStr">
        <is>
          <t>Переналадка</t>
        </is>
      </c>
    </row>
    <row r="96">
      <c r="A96" s="43" t="n">
        <v>46272</v>
      </c>
      <c r="B96" s="44" t="inlineStr">
        <is>
          <t>Ночная</t>
        </is>
      </c>
      <c r="C96" s="44" t="inlineStr">
        <is>
          <t>Мехобработка</t>
        </is>
      </c>
      <c r="D96" s="44" t="inlineStr">
        <is>
          <t>CNC-02</t>
        </is>
      </c>
      <c r="E96" s="44" t="inlineStr">
        <is>
          <t>Михайлов С.Л.</t>
        </is>
      </c>
      <c r="F96" s="45" t="n">
        <v>8</v>
      </c>
      <c r="G96" s="46" t="n">
        <v>0</v>
      </c>
      <c r="H96" s="44" t="n"/>
    </row>
    <row r="97">
      <c r="A97" s="43" t="n">
        <v>46272</v>
      </c>
      <c r="B97" s="44" t="inlineStr">
        <is>
          <t>Ночная</t>
        </is>
      </c>
      <c r="C97" s="44" t="inlineStr">
        <is>
          <t>Мехобработка</t>
        </is>
      </c>
      <c r="D97" s="44" t="inlineStr">
        <is>
          <t>CNC-03</t>
        </is>
      </c>
      <c r="E97" s="44" t="inlineStr">
        <is>
          <t>Иванов Е.Р.</t>
        </is>
      </c>
      <c r="F97" s="45" t="n">
        <v>5.42</v>
      </c>
      <c r="G97" s="46" t="n">
        <v>155</v>
      </c>
      <c r="H97" s="44" t="inlineStr">
        <is>
          <t>Нет материала</t>
        </is>
      </c>
    </row>
    <row r="98">
      <c r="A98" s="43" t="n">
        <v>46273</v>
      </c>
      <c r="B98" s="44" t="inlineStr">
        <is>
          <t>Вечерняя</t>
        </is>
      </c>
      <c r="C98" s="44" t="inlineStr">
        <is>
          <t>Сборка</t>
        </is>
      </c>
      <c r="D98" s="44" t="inlineStr">
        <is>
          <t>ASM-01</t>
        </is>
      </c>
      <c r="E98" s="44" t="inlineStr">
        <is>
          <t>Кузнецов Б.К.</t>
        </is>
      </c>
      <c r="F98" s="45" t="n">
        <v>7.75</v>
      </c>
      <c r="G98" s="46" t="n">
        <v>15</v>
      </c>
      <c r="H98" s="44" t="inlineStr">
        <is>
          <t>Контроль качества</t>
        </is>
      </c>
    </row>
    <row r="99">
      <c r="A99" s="43" t="n">
        <v>46273</v>
      </c>
      <c r="B99" s="44" t="inlineStr">
        <is>
          <t>Вечерняя</t>
        </is>
      </c>
      <c r="C99" s="44" t="inlineStr">
        <is>
          <t>Сборка</t>
        </is>
      </c>
      <c r="D99" s="44" t="inlineStr">
        <is>
          <t>ASM-02</t>
        </is>
      </c>
      <c r="E99" s="44" t="inlineStr">
        <is>
          <t>Козлов И.Р.</t>
        </is>
      </c>
      <c r="F99" s="45" t="n">
        <v>6.25</v>
      </c>
      <c r="G99" s="46" t="n">
        <v>105</v>
      </c>
      <c r="H99" s="44" t="inlineStr">
        <is>
          <t>Переналадка</t>
        </is>
      </c>
    </row>
    <row r="100">
      <c r="A100" s="43" t="n">
        <v>46273</v>
      </c>
      <c r="B100" s="44" t="inlineStr">
        <is>
          <t>Вечерняя</t>
        </is>
      </c>
      <c r="C100" s="44" t="inlineStr">
        <is>
          <t>Мехобработка</t>
        </is>
      </c>
      <c r="D100" s="44" t="inlineStr">
        <is>
          <t>CNC-01</t>
        </is>
      </c>
      <c r="E100" s="44" t="inlineStr">
        <is>
          <t>Алексеев В.М.</t>
        </is>
      </c>
      <c r="F100" s="45" t="n">
        <v>3.75</v>
      </c>
      <c r="G100" s="46" t="n">
        <v>255</v>
      </c>
      <c r="H100" s="44" t="inlineStr">
        <is>
          <t>Поломка</t>
        </is>
      </c>
    </row>
    <row r="101">
      <c r="A101" s="43" t="n">
        <v>46273</v>
      </c>
      <c r="B101" s="44" t="inlineStr">
        <is>
          <t>Вечерняя</t>
        </is>
      </c>
      <c r="C101" s="44" t="inlineStr">
        <is>
          <t>Мехобработка</t>
        </is>
      </c>
      <c r="D101" s="44" t="inlineStr">
        <is>
          <t>CNC-02</t>
        </is>
      </c>
      <c r="E101" s="44" t="inlineStr">
        <is>
          <t>Смирнов А.В.</t>
        </is>
      </c>
      <c r="F101" s="45" t="n">
        <v>5.17</v>
      </c>
      <c r="G101" s="46" t="n">
        <v>170</v>
      </c>
      <c r="H101" s="44" t="inlineStr">
        <is>
          <t>Нет материала</t>
        </is>
      </c>
    </row>
    <row r="102">
      <c r="A102" s="43" t="n">
        <v>46273</v>
      </c>
      <c r="B102" s="44" t="inlineStr">
        <is>
          <t>Вечерняя</t>
        </is>
      </c>
      <c r="C102" s="44" t="inlineStr">
        <is>
          <t>Мехобработка</t>
        </is>
      </c>
      <c r="D102" s="44" t="inlineStr">
        <is>
          <t>CNC-03</t>
        </is>
      </c>
      <c r="E102" s="44" t="inlineStr">
        <is>
          <t>Попов П.Л.</t>
        </is>
      </c>
      <c r="F102" s="45" t="n">
        <v>7.75</v>
      </c>
      <c r="G102" s="46" t="n">
        <v>15</v>
      </c>
      <c r="H102" s="44" t="inlineStr">
        <is>
          <t>Замена инструмента</t>
        </is>
      </c>
    </row>
    <row r="103">
      <c r="A103" s="43" t="n">
        <v>46273</v>
      </c>
      <c r="B103" s="44" t="inlineStr">
        <is>
          <t>Вечерняя</t>
        </is>
      </c>
      <c r="C103" s="44" t="inlineStr">
        <is>
          <t>Сварка</t>
        </is>
      </c>
      <c r="D103" s="44" t="inlineStr">
        <is>
          <t>WLD-01</t>
        </is>
      </c>
      <c r="E103" s="44" t="inlineStr">
        <is>
          <t>Соколов К.А.</t>
        </is>
      </c>
      <c r="F103" s="45" t="n">
        <v>8</v>
      </c>
      <c r="G103" s="46" t="n">
        <v>0</v>
      </c>
      <c r="H103" s="44" t="n"/>
    </row>
    <row r="104">
      <c r="A104" s="43" t="n">
        <v>46273</v>
      </c>
      <c r="B104" s="44" t="inlineStr">
        <is>
          <t>Вечерняя</t>
        </is>
      </c>
      <c r="C104" s="44" t="inlineStr">
        <is>
          <t>Сварка</t>
        </is>
      </c>
      <c r="D104" s="44" t="inlineStr">
        <is>
          <t>WLD-02</t>
        </is>
      </c>
      <c r="E104" s="44" t="inlineStr">
        <is>
          <t>Попов В.Р.</t>
        </is>
      </c>
      <c r="F104" s="45" t="n">
        <v>8</v>
      </c>
      <c r="G104" s="46" t="n">
        <v>0</v>
      </c>
      <c r="H104" s="44" t="n"/>
    </row>
    <row r="105">
      <c r="A105" s="43" t="n">
        <v>46273</v>
      </c>
      <c r="B105" s="44" t="inlineStr">
        <is>
          <t>Дневная</t>
        </is>
      </c>
      <c r="C105" s="44" t="inlineStr">
        <is>
          <t>Сборка</t>
        </is>
      </c>
      <c r="D105" s="44" t="inlineStr">
        <is>
          <t>ASM-01</t>
        </is>
      </c>
      <c r="E105" s="44" t="inlineStr">
        <is>
          <t>Волков О.Л.</t>
        </is>
      </c>
      <c r="F105" s="45" t="n">
        <v>8</v>
      </c>
      <c r="G105" s="46" t="n">
        <v>0</v>
      </c>
      <c r="H105" s="44" t="n"/>
    </row>
    <row r="106">
      <c r="A106" s="43" t="n">
        <v>46273</v>
      </c>
      <c r="B106" s="44" t="inlineStr">
        <is>
          <t>Дневная</t>
        </is>
      </c>
      <c r="C106" s="44" t="inlineStr">
        <is>
          <t>Сборка</t>
        </is>
      </c>
      <c r="D106" s="44" t="inlineStr">
        <is>
          <t>ASM-02</t>
        </is>
      </c>
      <c r="E106" s="44" t="inlineStr">
        <is>
          <t>Попов А.Л.</t>
        </is>
      </c>
      <c r="F106" s="45" t="n">
        <v>8</v>
      </c>
      <c r="G106" s="46" t="n">
        <v>0</v>
      </c>
      <c r="H106" s="44" t="n"/>
    </row>
    <row r="107">
      <c r="A107" s="43" t="n">
        <v>46273</v>
      </c>
      <c r="B107" s="44" t="inlineStr">
        <is>
          <t>Дневная</t>
        </is>
      </c>
      <c r="C107" s="44" t="inlineStr">
        <is>
          <t>Мехобработка</t>
        </is>
      </c>
      <c r="D107" s="44" t="inlineStr">
        <is>
          <t>CNC-01</t>
        </is>
      </c>
      <c r="E107" s="44" t="inlineStr">
        <is>
          <t>Михайлов К.Д.</t>
        </is>
      </c>
      <c r="F107" s="45" t="n">
        <v>7</v>
      </c>
      <c r="G107" s="46" t="n">
        <v>60</v>
      </c>
      <c r="H107" s="44" t="inlineStr">
        <is>
          <t>Поломка</t>
        </is>
      </c>
    </row>
    <row r="108">
      <c r="A108" s="43" t="n">
        <v>46273</v>
      </c>
      <c r="B108" s="44" t="inlineStr">
        <is>
          <t>Дневная</t>
        </is>
      </c>
      <c r="C108" s="44" t="inlineStr">
        <is>
          <t>Мехобработка</t>
        </is>
      </c>
      <c r="D108" s="44" t="inlineStr">
        <is>
          <t>CNC-02</t>
        </is>
      </c>
      <c r="E108" s="44" t="inlineStr">
        <is>
          <t>Морозов Л.Д.</t>
        </is>
      </c>
      <c r="F108" s="45" t="n">
        <v>7.5</v>
      </c>
      <c r="G108" s="46" t="n">
        <v>30</v>
      </c>
      <c r="H108" s="44" t="inlineStr">
        <is>
          <t>Переналадка</t>
        </is>
      </c>
    </row>
    <row r="109">
      <c r="A109" s="43" t="n">
        <v>46273</v>
      </c>
      <c r="B109" s="44" t="inlineStr">
        <is>
          <t>Дневная</t>
        </is>
      </c>
      <c r="C109" s="44" t="inlineStr">
        <is>
          <t>Покраска</t>
        </is>
      </c>
      <c r="D109" s="44" t="inlineStr">
        <is>
          <t>PNT-01</t>
        </is>
      </c>
      <c r="E109" s="44" t="inlineStr">
        <is>
          <t>Смирнов С.Г.</t>
        </is>
      </c>
      <c r="F109" s="45" t="n">
        <v>7.33</v>
      </c>
      <c r="G109" s="46" t="n">
        <v>40</v>
      </c>
      <c r="H109" s="44" t="inlineStr">
        <is>
          <t>Контроль качества</t>
        </is>
      </c>
    </row>
    <row r="110">
      <c r="A110" s="43" t="n">
        <v>46273</v>
      </c>
      <c r="B110" s="44" t="inlineStr">
        <is>
          <t>Дневная</t>
        </is>
      </c>
      <c r="C110" s="44" t="inlineStr">
        <is>
          <t>Сварка</t>
        </is>
      </c>
      <c r="D110" s="44" t="inlineStr">
        <is>
          <t>WLD-01</t>
        </is>
      </c>
      <c r="E110" s="44" t="inlineStr">
        <is>
          <t>Фёдоров В.К.</t>
        </is>
      </c>
      <c r="F110" s="45" t="n">
        <v>6</v>
      </c>
      <c r="G110" s="46" t="n">
        <v>120</v>
      </c>
      <c r="H110" s="44" t="inlineStr">
        <is>
          <t>Переналадка</t>
        </is>
      </c>
    </row>
    <row r="111">
      <c r="A111" s="43" t="n">
        <v>46273</v>
      </c>
      <c r="B111" s="44" t="inlineStr">
        <is>
          <t>Дневная</t>
        </is>
      </c>
      <c r="C111" s="44" t="inlineStr">
        <is>
          <t>Сварка</t>
        </is>
      </c>
      <c r="D111" s="44" t="inlineStr">
        <is>
          <t>WLD-02</t>
        </is>
      </c>
      <c r="E111" s="44" t="inlineStr">
        <is>
          <t>Кузнецов П.Г.</t>
        </is>
      </c>
      <c r="F111" s="45" t="n">
        <v>8</v>
      </c>
      <c r="G111" s="46" t="n">
        <v>0</v>
      </c>
      <c r="H111" s="44" t="n"/>
    </row>
    <row r="112">
      <c r="A112" s="43" t="n">
        <v>46273</v>
      </c>
      <c r="B112" s="44" t="inlineStr">
        <is>
          <t>Ночная</t>
        </is>
      </c>
      <c r="C112" s="44" t="inlineStr">
        <is>
          <t>Мехобработка</t>
        </is>
      </c>
      <c r="D112" s="44" t="inlineStr">
        <is>
          <t>CNC-01</t>
        </is>
      </c>
      <c r="E112" s="44" t="inlineStr">
        <is>
          <t>Соколов Н.Г.</t>
        </is>
      </c>
      <c r="F112" s="45" t="n">
        <v>6.67</v>
      </c>
      <c r="G112" s="46" t="n">
        <v>80</v>
      </c>
      <c r="H112" s="44" t="inlineStr">
        <is>
          <t>Переналадка</t>
        </is>
      </c>
    </row>
    <row r="113">
      <c r="A113" s="43" t="n">
        <v>46273</v>
      </c>
      <c r="B113" s="44" t="inlineStr">
        <is>
          <t>Ночная</t>
        </is>
      </c>
      <c r="C113" s="44" t="inlineStr">
        <is>
          <t>Мехобработка</t>
        </is>
      </c>
      <c r="D113" s="44" t="inlineStr">
        <is>
          <t>CNC-02</t>
        </is>
      </c>
      <c r="E113" s="44" t="inlineStr">
        <is>
          <t>Михайлов С.Л.</t>
        </is>
      </c>
      <c r="F113" s="45" t="n">
        <v>7.33</v>
      </c>
      <c r="G113" s="46" t="n">
        <v>40</v>
      </c>
      <c r="H113" s="44" t="inlineStr">
        <is>
          <t>Переналадка</t>
        </is>
      </c>
    </row>
    <row r="114">
      <c r="A114" s="43" t="n">
        <v>46273</v>
      </c>
      <c r="B114" s="44" t="inlineStr">
        <is>
          <t>Ночная</t>
        </is>
      </c>
      <c r="C114" s="44" t="inlineStr">
        <is>
          <t>Мехобработка</t>
        </is>
      </c>
      <c r="D114" s="44" t="inlineStr">
        <is>
          <t>CNC-03</t>
        </is>
      </c>
      <c r="E114" s="44" t="inlineStr">
        <is>
          <t>Иванов Е.Р.</t>
        </is>
      </c>
      <c r="F114" s="45" t="n">
        <v>8</v>
      </c>
      <c r="G114" s="46" t="n">
        <v>0</v>
      </c>
      <c r="H114" s="44" t="n"/>
    </row>
    <row r="115">
      <c r="A115" s="43" t="n">
        <v>46274</v>
      </c>
      <c r="B115" s="44" t="inlineStr">
        <is>
          <t>Вечерняя</t>
        </is>
      </c>
      <c r="C115" s="44" t="inlineStr">
        <is>
          <t>Сборка</t>
        </is>
      </c>
      <c r="D115" s="44" t="inlineStr">
        <is>
          <t>ASM-01</t>
        </is>
      </c>
      <c r="E115" s="44" t="inlineStr">
        <is>
          <t>Кузнецов Б.К.</t>
        </is>
      </c>
      <c r="F115" s="45" t="n">
        <v>8</v>
      </c>
      <c r="G115" s="46" t="n">
        <v>0</v>
      </c>
      <c r="H115" s="44" t="n"/>
    </row>
    <row r="116">
      <c r="A116" s="43" t="n">
        <v>46274</v>
      </c>
      <c r="B116" s="44" t="inlineStr">
        <is>
          <t>Вечерняя</t>
        </is>
      </c>
      <c r="C116" s="44" t="inlineStr">
        <is>
          <t>Сборка</t>
        </is>
      </c>
      <c r="D116" s="44" t="inlineStr">
        <is>
          <t>ASM-02</t>
        </is>
      </c>
      <c r="E116" s="44" t="inlineStr">
        <is>
          <t>Козлов И.Р.</t>
        </is>
      </c>
      <c r="F116" s="45" t="n">
        <v>7.25</v>
      </c>
      <c r="G116" s="46" t="n">
        <v>45</v>
      </c>
      <c r="H116" s="44" t="inlineStr">
        <is>
          <t>Переналадка</t>
        </is>
      </c>
    </row>
    <row r="117">
      <c r="A117" s="43" t="n">
        <v>46274</v>
      </c>
      <c r="B117" s="44" t="inlineStr">
        <is>
          <t>Вечерняя</t>
        </is>
      </c>
      <c r="C117" s="44" t="inlineStr">
        <is>
          <t>Мехобработка</t>
        </is>
      </c>
      <c r="D117" s="44" t="inlineStr">
        <is>
          <t>CNC-01</t>
        </is>
      </c>
      <c r="E117" s="44" t="inlineStr">
        <is>
          <t>Алексеев В.М.</t>
        </is>
      </c>
      <c r="F117" s="45" t="n">
        <v>6.33</v>
      </c>
      <c r="G117" s="46" t="n">
        <v>100</v>
      </c>
      <c r="H117" s="44" t="inlineStr">
        <is>
          <t>Переналадка</t>
        </is>
      </c>
    </row>
    <row r="118">
      <c r="A118" s="43" t="n">
        <v>46274</v>
      </c>
      <c r="B118" s="44" t="inlineStr">
        <is>
          <t>Вечерняя</t>
        </is>
      </c>
      <c r="C118" s="44" t="inlineStr">
        <is>
          <t>Мехобработка</t>
        </is>
      </c>
      <c r="D118" s="44" t="inlineStr">
        <is>
          <t>CNC-02</t>
        </is>
      </c>
      <c r="E118" s="44" t="inlineStr">
        <is>
          <t>Смирнов А.В.</t>
        </is>
      </c>
      <c r="F118" s="45" t="n">
        <v>6.92</v>
      </c>
      <c r="G118" s="46" t="n">
        <v>65</v>
      </c>
      <c r="H118" s="44" t="inlineStr">
        <is>
          <t>Переналадка</t>
        </is>
      </c>
    </row>
    <row r="119">
      <c r="A119" s="43" t="n">
        <v>46274</v>
      </c>
      <c r="B119" s="44" t="inlineStr">
        <is>
          <t>Вечерняя</t>
        </is>
      </c>
      <c r="C119" s="44" t="inlineStr">
        <is>
          <t>Мехобработка</t>
        </is>
      </c>
      <c r="D119" s="44" t="inlineStr">
        <is>
          <t>CNC-03</t>
        </is>
      </c>
      <c r="E119" s="44" t="inlineStr">
        <is>
          <t>Попов П.Л.</t>
        </is>
      </c>
      <c r="F119" s="45" t="n">
        <v>8</v>
      </c>
      <c r="G119" s="46" t="n">
        <v>0</v>
      </c>
      <c r="H119" s="44" t="n"/>
    </row>
    <row r="120">
      <c r="A120" s="43" t="n">
        <v>46274</v>
      </c>
      <c r="B120" s="44" t="inlineStr">
        <is>
          <t>Вечерняя</t>
        </is>
      </c>
      <c r="C120" s="44" t="inlineStr">
        <is>
          <t>Сварка</t>
        </is>
      </c>
      <c r="D120" s="44" t="inlineStr">
        <is>
          <t>WLD-01</t>
        </is>
      </c>
      <c r="E120" s="44" t="inlineStr">
        <is>
          <t>Соколов К.А.</t>
        </is>
      </c>
      <c r="F120" s="45" t="n">
        <v>7</v>
      </c>
      <c r="G120" s="46" t="n">
        <v>60</v>
      </c>
      <c r="H120" s="44" t="inlineStr">
        <is>
          <t>Нет материала</t>
        </is>
      </c>
    </row>
    <row r="121">
      <c r="A121" s="43" t="n">
        <v>46274</v>
      </c>
      <c r="B121" s="44" t="inlineStr">
        <is>
          <t>Дневная</t>
        </is>
      </c>
      <c r="C121" s="44" t="inlineStr">
        <is>
          <t>Сборка</t>
        </is>
      </c>
      <c r="D121" s="44" t="inlineStr">
        <is>
          <t>ASM-01</t>
        </is>
      </c>
      <c r="E121" s="44" t="inlineStr">
        <is>
          <t>Волков О.Л.</t>
        </is>
      </c>
      <c r="F121" s="45" t="n">
        <v>5.33</v>
      </c>
      <c r="G121" s="46" t="n">
        <v>160</v>
      </c>
      <c r="H121" s="44" t="inlineStr">
        <is>
          <t>Нет материала</t>
        </is>
      </c>
    </row>
    <row r="122">
      <c r="A122" s="43" t="n">
        <v>46274</v>
      </c>
      <c r="B122" s="44" t="inlineStr">
        <is>
          <t>Дневная</t>
        </is>
      </c>
      <c r="C122" s="44" t="inlineStr">
        <is>
          <t>Сборка</t>
        </is>
      </c>
      <c r="D122" s="44" t="inlineStr">
        <is>
          <t>ASM-02</t>
        </is>
      </c>
      <c r="E122" s="44" t="inlineStr">
        <is>
          <t>Попов А.Л.</t>
        </is>
      </c>
      <c r="F122" s="45" t="n">
        <v>8</v>
      </c>
      <c r="G122" s="46" t="n">
        <v>0</v>
      </c>
      <c r="H122" s="44" t="n"/>
    </row>
    <row r="123">
      <c r="A123" s="43" t="n">
        <v>46274</v>
      </c>
      <c r="B123" s="44" t="inlineStr">
        <is>
          <t>Дневная</t>
        </is>
      </c>
      <c r="C123" s="44" t="inlineStr">
        <is>
          <t>Мехобработка</t>
        </is>
      </c>
      <c r="D123" s="44" t="inlineStr">
        <is>
          <t>CNC-01</t>
        </is>
      </c>
      <c r="E123" s="44" t="inlineStr">
        <is>
          <t>Михайлов К.Д.</t>
        </is>
      </c>
      <c r="F123" s="45" t="n">
        <v>7.33</v>
      </c>
      <c r="G123" s="46" t="n">
        <v>40</v>
      </c>
      <c r="H123" s="44" t="inlineStr">
        <is>
          <t>Замена инструмента</t>
        </is>
      </c>
    </row>
    <row r="124">
      <c r="A124" s="43" t="n">
        <v>46274</v>
      </c>
      <c r="B124" s="44" t="inlineStr">
        <is>
          <t>Дневная</t>
        </is>
      </c>
      <c r="C124" s="44" t="inlineStr">
        <is>
          <t>Мехобработка</t>
        </is>
      </c>
      <c r="D124" s="44" t="inlineStr">
        <is>
          <t>CNC-02</t>
        </is>
      </c>
      <c r="E124" s="44" t="inlineStr">
        <is>
          <t>Морозов Л.Д.</t>
        </is>
      </c>
      <c r="F124" s="45" t="n">
        <v>6.5</v>
      </c>
      <c r="G124" s="46" t="n">
        <v>90</v>
      </c>
      <c r="H124" s="44" t="inlineStr">
        <is>
          <t>Нет материала</t>
        </is>
      </c>
    </row>
    <row r="125">
      <c r="A125" s="43" t="n">
        <v>46274</v>
      </c>
      <c r="B125" s="44" t="inlineStr">
        <is>
          <t>Дневная</t>
        </is>
      </c>
      <c r="C125" s="44" t="inlineStr">
        <is>
          <t>Мехобработка</t>
        </is>
      </c>
      <c r="D125" s="44" t="inlineStr">
        <is>
          <t>CNC-03</t>
        </is>
      </c>
      <c r="E125" s="44" t="inlineStr">
        <is>
          <t>Николаев О.И.</t>
        </is>
      </c>
      <c r="F125" s="45" t="n">
        <v>4.92</v>
      </c>
      <c r="G125" s="46" t="n">
        <v>185</v>
      </c>
      <c r="H125" s="44" t="inlineStr">
        <is>
          <t>Нет материала</t>
        </is>
      </c>
    </row>
    <row r="126">
      <c r="A126" s="43" t="n">
        <v>46274</v>
      </c>
      <c r="B126" s="44" t="inlineStr">
        <is>
          <t>Дневная</t>
        </is>
      </c>
      <c r="C126" s="44" t="inlineStr">
        <is>
          <t>Покраска</t>
        </is>
      </c>
      <c r="D126" s="44" t="inlineStr">
        <is>
          <t>PNT-01</t>
        </is>
      </c>
      <c r="E126" s="44" t="inlineStr">
        <is>
          <t>Смирнов С.Г.</t>
        </is>
      </c>
      <c r="F126" s="45" t="n">
        <v>7.17</v>
      </c>
      <c r="G126" s="46" t="n">
        <v>50</v>
      </c>
      <c r="H126" s="44" t="inlineStr">
        <is>
          <t>Нет материала</t>
        </is>
      </c>
    </row>
    <row r="127">
      <c r="A127" s="43" t="n">
        <v>46274</v>
      </c>
      <c r="B127" s="44" t="inlineStr">
        <is>
          <t>Дневная</t>
        </is>
      </c>
      <c r="C127" s="44" t="inlineStr">
        <is>
          <t>Сварка</t>
        </is>
      </c>
      <c r="D127" s="44" t="inlineStr">
        <is>
          <t>WLD-01</t>
        </is>
      </c>
      <c r="E127" s="44" t="inlineStr">
        <is>
          <t>Фёдоров В.К.</t>
        </is>
      </c>
      <c r="F127" s="45" t="n">
        <v>5.5</v>
      </c>
      <c r="G127" s="46" t="n">
        <v>150</v>
      </c>
      <c r="H127" s="44" t="inlineStr">
        <is>
          <t>Не указана</t>
        </is>
      </c>
    </row>
    <row r="128">
      <c r="A128" s="43" t="n">
        <v>46274</v>
      </c>
      <c r="B128" s="44" t="inlineStr">
        <is>
          <t>Дневная</t>
        </is>
      </c>
      <c r="C128" s="44" t="inlineStr">
        <is>
          <t>Сварка</t>
        </is>
      </c>
      <c r="D128" s="44" t="inlineStr">
        <is>
          <t>WLD-02</t>
        </is>
      </c>
      <c r="E128" s="44" t="inlineStr">
        <is>
          <t>Кузнецов П.Г.</t>
        </is>
      </c>
      <c r="F128" s="45" t="n">
        <v>5.83</v>
      </c>
      <c r="G128" s="46" t="n">
        <v>130</v>
      </c>
      <c r="H128" s="44" t="inlineStr">
        <is>
          <t>Нет материала</t>
        </is>
      </c>
    </row>
    <row r="129">
      <c r="A129" s="43" t="n">
        <v>46274</v>
      </c>
      <c r="B129" s="44" t="inlineStr">
        <is>
          <t>Ночная</t>
        </is>
      </c>
      <c r="C129" s="44" t="inlineStr">
        <is>
          <t>Мехобработка</t>
        </is>
      </c>
      <c r="D129" s="44" t="inlineStr">
        <is>
          <t>CNC-01</t>
        </is>
      </c>
      <c r="E129" s="44" t="inlineStr">
        <is>
          <t>Соколов Н.Г.</t>
        </is>
      </c>
      <c r="F129" s="45" t="n">
        <v>5.67</v>
      </c>
      <c r="G129" s="46" t="n">
        <v>140</v>
      </c>
      <c r="H129" s="44" t="inlineStr">
        <is>
          <t>Поломка</t>
        </is>
      </c>
    </row>
    <row r="130">
      <c r="A130" s="43" t="n">
        <v>46274</v>
      </c>
      <c r="B130" s="44" t="inlineStr">
        <is>
          <t>Ночная</t>
        </is>
      </c>
      <c r="C130" s="44" t="inlineStr">
        <is>
          <t>Мехобработка</t>
        </is>
      </c>
      <c r="D130" s="44" t="inlineStr">
        <is>
          <t>CNC-02</t>
        </is>
      </c>
      <c r="E130" s="44" t="inlineStr">
        <is>
          <t>Михайлов С.Л.</t>
        </is>
      </c>
      <c r="F130" s="45" t="n">
        <v>5.92</v>
      </c>
      <c r="G130" s="46" t="n">
        <v>125</v>
      </c>
      <c r="H130" s="44" t="inlineStr">
        <is>
          <t>Нет материала</t>
        </is>
      </c>
    </row>
    <row r="131">
      <c r="A131" s="43" t="n">
        <v>46274</v>
      </c>
      <c r="B131" s="44" t="inlineStr">
        <is>
          <t>Ночная</t>
        </is>
      </c>
      <c r="C131" s="44" t="inlineStr">
        <is>
          <t>Мехобработка</t>
        </is>
      </c>
      <c r="D131" s="44" t="inlineStr">
        <is>
          <t>CNC-03</t>
        </is>
      </c>
      <c r="E131" s="44" t="inlineStr">
        <is>
          <t>Иванов Е.Р.</t>
        </is>
      </c>
      <c r="F131" s="45" t="n">
        <v>8</v>
      </c>
      <c r="G131" s="46" t="n">
        <v>0</v>
      </c>
      <c r="H131" s="44" t="n"/>
    </row>
    <row r="132">
      <c r="A132" s="43" t="n">
        <v>46275</v>
      </c>
      <c r="B132" s="44" t="inlineStr">
        <is>
          <t>Вечерняя</t>
        </is>
      </c>
      <c r="C132" s="44" t="inlineStr">
        <is>
          <t>Сборка</t>
        </is>
      </c>
      <c r="D132" s="44" t="inlineStr">
        <is>
          <t>ASM-01</t>
        </is>
      </c>
      <c r="E132" s="44" t="inlineStr">
        <is>
          <t>Кузнецов Б.К.</t>
        </is>
      </c>
      <c r="F132" s="45" t="n">
        <v>8</v>
      </c>
      <c r="G132" s="46" t="n">
        <v>0</v>
      </c>
      <c r="H132" s="44" t="n"/>
    </row>
    <row r="133">
      <c r="A133" s="43" t="n">
        <v>46275</v>
      </c>
      <c r="B133" s="44" t="inlineStr">
        <is>
          <t>Вечерняя</t>
        </is>
      </c>
      <c r="C133" s="44" t="inlineStr">
        <is>
          <t>Сборка</t>
        </is>
      </c>
      <c r="D133" s="44" t="inlineStr">
        <is>
          <t>ASM-02</t>
        </is>
      </c>
      <c r="E133" s="44" t="inlineStr">
        <is>
          <t>Козлов И.Р.</t>
        </is>
      </c>
      <c r="F133" s="45" t="n">
        <v>8</v>
      </c>
      <c r="G133" s="46" t="n">
        <v>0</v>
      </c>
      <c r="H133" s="44" t="n"/>
    </row>
    <row r="134">
      <c r="A134" s="43" t="n">
        <v>46275</v>
      </c>
      <c r="B134" s="44" t="inlineStr">
        <is>
          <t>Вечерняя</t>
        </is>
      </c>
      <c r="C134" s="44" t="inlineStr">
        <is>
          <t>Мехобработка</t>
        </is>
      </c>
      <c r="D134" s="44" t="inlineStr">
        <is>
          <t>CNC-01</t>
        </is>
      </c>
      <c r="E134" s="44" t="inlineStr">
        <is>
          <t>Алексеев В.М.</t>
        </is>
      </c>
      <c r="F134" s="45" t="n">
        <v>8</v>
      </c>
      <c r="G134" s="46" t="n">
        <v>0</v>
      </c>
      <c r="H134" s="44" t="n"/>
    </row>
    <row r="135">
      <c r="A135" s="43" t="n">
        <v>46275</v>
      </c>
      <c r="B135" s="44" t="inlineStr">
        <is>
          <t>Вечерняя</t>
        </is>
      </c>
      <c r="C135" s="44" t="inlineStr">
        <is>
          <t>Мехобработка</t>
        </is>
      </c>
      <c r="D135" s="44" t="inlineStr">
        <is>
          <t>CNC-02</t>
        </is>
      </c>
      <c r="E135" s="44" t="inlineStr">
        <is>
          <t>Смирнов А.В.</t>
        </is>
      </c>
      <c r="F135" s="45" t="n">
        <v>7.42</v>
      </c>
      <c r="G135" s="46" t="n">
        <v>35</v>
      </c>
      <c r="H135" s="44" t="inlineStr">
        <is>
          <t>Контроль качества</t>
        </is>
      </c>
    </row>
    <row r="136">
      <c r="A136" s="43" t="n">
        <v>46275</v>
      </c>
      <c r="B136" s="44" t="inlineStr">
        <is>
          <t>Вечерняя</t>
        </is>
      </c>
      <c r="C136" s="44" t="inlineStr">
        <is>
          <t>Мехобработка</t>
        </is>
      </c>
      <c r="D136" s="44" t="inlineStr">
        <is>
          <t>CNC-03</t>
        </is>
      </c>
      <c r="E136" s="44" t="inlineStr">
        <is>
          <t>Попов П.Л.</t>
        </is>
      </c>
      <c r="F136" s="45" t="n">
        <v>8</v>
      </c>
      <c r="G136" s="46" t="n">
        <v>0</v>
      </c>
      <c r="H136" s="44" t="n"/>
    </row>
    <row r="137">
      <c r="A137" s="43" t="n">
        <v>46275</v>
      </c>
      <c r="B137" s="44" t="inlineStr">
        <is>
          <t>Вечерняя</t>
        </is>
      </c>
      <c r="C137" s="44" t="inlineStr">
        <is>
          <t>Сварка</t>
        </is>
      </c>
      <c r="D137" s="44" t="inlineStr">
        <is>
          <t>WLD-01</t>
        </is>
      </c>
      <c r="E137" s="44" t="inlineStr">
        <is>
          <t>Соколов К.А.</t>
        </is>
      </c>
      <c r="F137" s="45" t="n">
        <v>8</v>
      </c>
      <c r="G137" s="46" t="n">
        <v>0</v>
      </c>
      <c r="H137" s="44" t="n"/>
    </row>
    <row r="138">
      <c r="A138" s="43" t="n">
        <v>46275</v>
      </c>
      <c r="B138" s="44" t="inlineStr">
        <is>
          <t>Вечерняя</t>
        </is>
      </c>
      <c r="C138" s="44" t="inlineStr">
        <is>
          <t>Сварка</t>
        </is>
      </c>
      <c r="D138" s="44" t="inlineStr">
        <is>
          <t>WLD-02</t>
        </is>
      </c>
      <c r="E138" s="44" t="inlineStr">
        <is>
          <t>Попов В.Р.</t>
        </is>
      </c>
      <c r="F138" s="45" t="n">
        <v>5.33</v>
      </c>
      <c r="G138" s="46" t="n">
        <v>160</v>
      </c>
      <c r="H138" s="44" t="inlineStr">
        <is>
          <t>Плановое ТО</t>
        </is>
      </c>
    </row>
    <row r="139">
      <c r="A139" s="43" t="n">
        <v>46275</v>
      </c>
      <c r="B139" s="44" t="inlineStr">
        <is>
          <t>Дневная</t>
        </is>
      </c>
      <c r="C139" s="44" t="inlineStr">
        <is>
          <t>Сборка</t>
        </is>
      </c>
      <c r="D139" s="44" t="inlineStr">
        <is>
          <t>ASM-01</t>
        </is>
      </c>
      <c r="E139" s="44" t="inlineStr">
        <is>
          <t>Волков О.Л.</t>
        </is>
      </c>
      <c r="F139" s="45" t="n">
        <v>3.25</v>
      </c>
      <c r="G139" s="46" t="n">
        <v>285</v>
      </c>
      <c r="H139" s="44" t="inlineStr">
        <is>
          <t>Поломка</t>
        </is>
      </c>
    </row>
    <row r="140">
      <c r="A140" s="43" t="n">
        <v>46275</v>
      </c>
      <c r="B140" s="44" t="inlineStr">
        <is>
          <t>Дневная</t>
        </is>
      </c>
      <c r="C140" s="44" t="inlineStr">
        <is>
          <t>Сборка</t>
        </is>
      </c>
      <c r="D140" s="44" t="inlineStr">
        <is>
          <t>ASM-02</t>
        </is>
      </c>
      <c r="E140" s="44" t="inlineStr">
        <is>
          <t>Попов А.Л.</t>
        </is>
      </c>
      <c r="F140" s="45" t="n">
        <v>7</v>
      </c>
      <c r="G140" s="46" t="n">
        <v>60</v>
      </c>
      <c r="H140" s="44" t="inlineStr">
        <is>
          <t>Переналадка</t>
        </is>
      </c>
    </row>
    <row r="141">
      <c r="A141" s="43" t="n">
        <v>46275</v>
      </c>
      <c r="B141" s="44" t="inlineStr">
        <is>
          <t>Дневная</t>
        </is>
      </c>
      <c r="C141" s="44" t="inlineStr">
        <is>
          <t>Мехобработка</t>
        </is>
      </c>
      <c r="D141" s="44" t="inlineStr">
        <is>
          <t>CNC-01</t>
        </is>
      </c>
      <c r="E141" s="44" t="inlineStr">
        <is>
          <t>Михайлов К.Д.</t>
        </is>
      </c>
      <c r="F141" s="45" t="n">
        <v>5.33</v>
      </c>
      <c r="G141" s="46" t="n">
        <v>160</v>
      </c>
      <c r="H141" s="44" t="inlineStr">
        <is>
          <t>Нет материала</t>
        </is>
      </c>
    </row>
    <row r="142">
      <c r="A142" s="43" t="n">
        <v>46275</v>
      </c>
      <c r="B142" s="44" t="inlineStr">
        <is>
          <t>Дневная</t>
        </is>
      </c>
      <c r="C142" s="44" t="inlineStr">
        <is>
          <t>Мехобработка</t>
        </is>
      </c>
      <c r="D142" s="44" t="inlineStr">
        <is>
          <t>CNC-02</t>
        </is>
      </c>
      <c r="E142" s="44" t="inlineStr">
        <is>
          <t>Морозов Л.Д.</t>
        </is>
      </c>
      <c r="F142" s="45" t="n">
        <v>8</v>
      </c>
      <c r="G142" s="46" t="n">
        <v>0</v>
      </c>
      <c r="H142" s="44" t="n"/>
    </row>
    <row r="143">
      <c r="A143" s="43" t="n">
        <v>46275</v>
      </c>
      <c r="B143" s="44" t="inlineStr">
        <is>
          <t>Дневная</t>
        </is>
      </c>
      <c r="C143" s="44" t="inlineStr">
        <is>
          <t>Мехобработка</t>
        </is>
      </c>
      <c r="D143" s="44" t="inlineStr">
        <is>
          <t>CNC-03</t>
        </is>
      </c>
      <c r="E143" s="44" t="inlineStr">
        <is>
          <t>Николаев О.И.</t>
        </is>
      </c>
      <c r="F143" s="45" t="n">
        <v>7.42</v>
      </c>
      <c r="G143" s="46" t="n">
        <v>35</v>
      </c>
      <c r="H143" s="44" t="inlineStr">
        <is>
          <t>Переналадка</t>
        </is>
      </c>
    </row>
    <row r="144">
      <c r="A144" s="43" t="n">
        <v>46275</v>
      </c>
      <c r="B144" s="44" t="inlineStr">
        <is>
          <t>Дневная</t>
        </is>
      </c>
      <c r="C144" s="44" t="inlineStr">
        <is>
          <t>Покраска</t>
        </is>
      </c>
      <c r="D144" s="44" t="inlineStr">
        <is>
          <t>PNT-01</t>
        </is>
      </c>
      <c r="E144" s="44" t="inlineStr">
        <is>
          <t>Смирнов С.Г.</t>
        </is>
      </c>
      <c r="F144" s="45" t="n">
        <v>6</v>
      </c>
      <c r="G144" s="46" t="n">
        <v>120</v>
      </c>
      <c r="H144" s="44" t="inlineStr">
        <is>
          <t>Нет материала</t>
        </is>
      </c>
    </row>
    <row r="145">
      <c r="A145" s="43" t="n">
        <v>46275</v>
      </c>
      <c r="B145" s="44" t="inlineStr">
        <is>
          <t>Дневная</t>
        </is>
      </c>
      <c r="C145" s="44" t="inlineStr">
        <is>
          <t>Сварка</t>
        </is>
      </c>
      <c r="D145" s="44" t="inlineStr">
        <is>
          <t>WLD-01</t>
        </is>
      </c>
      <c r="E145" s="44" t="inlineStr">
        <is>
          <t>Фёдоров В.К.</t>
        </is>
      </c>
      <c r="F145" s="45" t="n">
        <v>8</v>
      </c>
      <c r="G145" s="46" t="n">
        <v>0</v>
      </c>
      <c r="H145" s="44" t="n"/>
    </row>
    <row r="146">
      <c r="A146" s="43" t="n">
        <v>46275</v>
      </c>
      <c r="B146" s="44" t="inlineStr">
        <is>
          <t>Дневная</t>
        </is>
      </c>
      <c r="C146" s="44" t="inlineStr">
        <is>
          <t>Сварка</t>
        </is>
      </c>
      <c r="D146" s="44" t="inlineStr">
        <is>
          <t>WLD-02</t>
        </is>
      </c>
      <c r="E146" s="44" t="inlineStr">
        <is>
          <t>Кузнецов П.Г.</t>
        </is>
      </c>
      <c r="F146" s="45" t="n">
        <v>7.17</v>
      </c>
      <c r="G146" s="46" t="n">
        <v>50</v>
      </c>
      <c r="H146" s="44" t="inlineStr">
        <is>
          <t>Контроль качества</t>
        </is>
      </c>
    </row>
    <row r="147">
      <c r="A147" s="43" t="n">
        <v>46275</v>
      </c>
      <c r="B147" s="44" t="inlineStr">
        <is>
          <t>Ночная</t>
        </is>
      </c>
      <c r="C147" s="44" t="inlineStr">
        <is>
          <t>Мехобработка</t>
        </is>
      </c>
      <c r="D147" s="44" t="inlineStr">
        <is>
          <t>CNC-01</t>
        </is>
      </c>
      <c r="E147" s="44" t="inlineStr">
        <is>
          <t>Соколов Н.Г.</t>
        </is>
      </c>
      <c r="F147" s="45" t="n">
        <v>7.42</v>
      </c>
      <c r="G147" s="46" t="n">
        <v>35</v>
      </c>
      <c r="H147" s="44" t="inlineStr">
        <is>
          <t>Переналадка</t>
        </is>
      </c>
    </row>
    <row r="148">
      <c r="A148" s="43" t="n">
        <v>46275</v>
      </c>
      <c r="B148" s="44" t="inlineStr">
        <is>
          <t>Ночная</t>
        </is>
      </c>
      <c r="C148" s="44" t="inlineStr">
        <is>
          <t>Мехобработка</t>
        </is>
      </c>
      <c r="D148" s="44" t="inlineStr">
        <is>
          <t>CNC-02</t>
        </is>
      </c>
      <c r="E148" s="44" t="inlineStr">
        <is>
          <t>Михайлов С.Л.</t>
        </is>
      </c>
      <c r="F148" s="45" t="n">
        <v>8</v>
      </c>
      <c r="G148" s="46" t="n">
        <v>0</v>
      </c>
      <c r="H148" s="44" t="n"/>
    </row>
    <row r="149">
      <c r="A149" s="43" t="n">
        <v>46275</v>
      </c>
      <c r="B149" s="44" t="inlineStr">
        <is>
          <t>Ночная</t>
        </is>
      </c>
      <c r="C149" s="44" t="inlineStr">
        <is>
          <t>Мехобработка</t>
        </is>
      </c>
      <c r="D149" s="44" t="inlineStr">
        <is>
          <t>CNC-03</t>
        </is>
      </c>
      <c r="E149" s="44" t="inlineStr">
        <is>
          <t>Иванов Е.Р.</t>
        </is>
      </c>
      <c r="F149" s="45" t="n">
        <v>8</v>
      </c>
      <c r="G149" s="46" t="n">
        <v>0</v>
      </c>
      <c r="H149" s="44" t="n"/>
    </row>
    <row r="150">
      <c r="A150" s="43" t="n">
        <v>46276</v>
      </c>
      <c r="B150" s="44" t="inlineStr">
        <is>
          <t>Вечерняя</t>
        </is>
      </c>
      <c r="C150" s="44" t="inlineStr">
        <is>
          <t>Сборка</t>
        </is>
      </c>
      <c r="D150" s="44" t="inlineStr">
        <is>
          <t>ASM-01</t>
        </is>
      </c>
      <c r="E150" s="44" t="inlineStr">
        <is>
          <t>Кузнецов Б.К.</t>
        </is>
      </c>
      <c r="F150" s="45" t="n">
        <v>8</v>
      </c>
      <c r="G150" s="46" t="n">
        <v>0</v>
      </c>
      <c r="H150" s="44" t="n"/>
    </row>
    <row r="151">
      <c r="A151" s="43" t="n">
        <v>46276</v>
      </c>
      <c r="B151" s="44" t="inlineStr">
        <is>
          <t>Вечерняя</t>
        </is>
      </c>
      <c r="C151" s="44" t="inlineStr">
        <is>
          <t>Сборка</t>
        </is>
      </c>
      <c r="D151" s="44" t="inlineStr">
        <is>
          <t>ASM-02</t>
        </is>
      </c>
      <c r="E151" s="44" t="inlineStr">
        <is>
          <t>Козлов И.Р.</t>
        </is>
      </c>
      <c r="F151" s="45" t="n">
        <v>8</v>
      </c>
      <c r="G151" s="46" t="n">
        <v>0</v>
      </c>
      <c r="H151" s="44" t="n"/>
    </row>
    <row r="152">
      <c r="A152" s="43" t="n">
        <v>46276</v>
      </c>
      <c r="B152" s="44" t="inlineStr">
        <is>
          <t>Вечерняя</t>
        </is>
      </c>
      <c r="C152" s="44" t="inlineStr">
        <is>
          <t>Мехобработка</t>
        </is>
      </c>
      <c r="D152" s="44" t="inlineStr">
        <is>
          <t>CNC-01</t>
        </is>
      </c>
      <c r="E152" s="44" t="inlineStr">
        <is>
          <t>Алексеев В.М.</t>
        </is>
      </c>
      <c r="F152" s="45" t="n">
        <v>5.58</v>
      </c>
      <c r="G152" s="46" t="n">
        <v>145</v>
      </c>
      <c r="H152" s="44" t="inlineStr">
        <is>
          <t>Плановое ТО</t>
        </is>
      </c>
    </row>
    <row r="153">
      <c r="A153" s="43" t="n">
        <v>46276</v>
      </c>
      <c r="B153" s="44" t="inlineStr">
        <is>
          <t>Вечерняя</t>
        </is>
      </c>
      <c r="C153" s="44" t="inlineStr">
        <is>
          <t>Мехобработка</t>
        </is>
      </c>
      <c r="D153" s="44" t="inlineStr">
        <is>
          <t>CNC-02</t>
        </is>
      </c>
      <c r="E153" s="44" t="inlineStr">
        <is>
          <t>Смирнов А.В.</t>
        </is>
      </c>
      <c r="F153" s="45" t="n">
        <v>4.83</v>
      </c>
      <c r="G153" s="46" t="n">
        <v>190</v>
      </c>
      <c r="H153" s="44" t="inlineStr">
        <is>
          <t>Поломка</t>
        </is>
      </c>
    </row>
    <row r="154">
      <c r="A154" s="43" t="n">
        <v>46276</v>
      </c>
      <c r="B154" s="44" t="inlineStr">
        <is>
          <t>Вечерняя</t>
        </is>
      </c>
      <c r="C154" s="44" t="inlineStr">
        <is>
          <t>Мехобработка</t>
        </is>
      </c>
      <c r="D154" s="44" t="inlineStr">
        <is>
          <t>CNC-03</t>
        </is>
      </c>
      <c r="E154" s="44" t="inlineStr">
        <is>
          <t>Попов П.Л.</t>
        </is>
      </c>
      <c r="F154" s="45" t="n">
        <v>5.08</v>
      </c>
      <c r="G154" s="46" t="n">
        <v>175</v>
      </c>
      <c r="H154" s="44" t="inlineStr">
        <is>
          <t>Поломка</t>
        </is>
      </c>
    </row>
    <row r="155">
      <c r="A155" s="43" t="n">
        <v>46276</v>
      </c>
      <c r="B155" s="44" t="inlineStr">
        <is>
          <t>Вечерняя</t>
        </is>
      </c>
      <c r="C155" s="44" t="inlineStr">
        <is>
          <t>Сварка</t>
        </is>
      </c>
      <c r="D155" s="44" t="inlineStr">
        <is>
          <t>WLD-01</t>
        </is>
      </c>
      <c r="E155" s="44" t="inlineStr">
        <is>
          <t>Соколов К.А.</t>
        </is>
      </c>
      <c r="F155" s="45" t="n">
        <v>8</v>
      </c>
      <c r="G155" s="46" t="n">
        <v>0</v>
      </c>
      <c r="H155" s="44" t="n"/>
    </row>
    <row r="156">
      <c r="A156" s="43" t="n">
        <v>46276</v>
      </c>
      <c r="B156" s="44" t="inlineStr">
        <is>
          <t>Вечерняя</t>
        </is>
      </c>
      <c r="C156" s="44" t="inlineStr">
        <is>
          <t>Сварка</t>
        </is>
      </c>
      <c r="D156" s="44" t="inlineStr">
        <is>
          <t>WLD-02</t>
        </is>
      </c>
      <c r="E156" s="44" t="inlineStr">
        <is>
          <t>Попов В.Р.</t>
        </is>
      </c>
      <c r="F156" s="45" t="n">
        <v>7.58</v>
      </c>
      <c r="G156" s="46" t="n">
        <v>25</v>
      </c>
      <c r="H156" s="44" t="inlineStr">
        <is>
          <t>Контроль качества</t>
        </is>
      </c>
    </row>
    <row r="157">
      <c r="A157" s="43" t="n">
        <v>46276</v>
      </c>
      <c r="B157" s="44" t="inlineStr">
        <is>
          <t>Дневная</t>
        </is>
      </c>
      <c r="C157" s="44" t="inlineStr">
        <is>
          <t>Сборка</t>
        </is>
      </c>
      <c r="D157" s="44" t="inlineStr">
        <is>
          <t>ASM-01</t>
        </is>
      </c>
      <c r="E157" s="44" t="inlineStr">
        <is>
          <t>Волков О.Л.</t>
        </is>
      </c>
      <c r="F157" s="45" t="n">
        <v>6.08</v>
      </c>
      <c r="G157" s="46" t="n">
        <v>115</v>
      </c>
      <c r="H157" s="44" t="inlineStr">
        <is>
          <t>Переналадка</t>
        </is>
      </c>
    </row>
    <row r="158">
      <c r="A158" s="43" t="n">
        <v>46276</v>
      </c>
      <c r="B158" s="44" t="inlineStr">
        <is>
          <t>Дневная</t>
        </is>
      </c>
      <c r="C158" s="44" t="inlineStr">
        <is>
          <t>Сборка</t>
        </is>
      </c>
      <c r="D158" s="44" t="inlineStr">
        <is>
          <t>ASM-02</t>
        </is>
      </c>
      <c r="E158" s="44" t="inlineStr">
        <is>
          <t>Попов А.Л.</t>
        </is>
      </c>
      <c r="F158" s="45" t="n">
        <v>6.08</v>
      </c>
      <c r="G158" s="46" t="n">
        <v>115</v>
      </c>
      <c r="H158" s="44" t="inlineStr">
        <is>
          <t>Переналадка</t>
        </is>
      </c>
    </row>
    <row r="159">
      <c r="A159" s="43" t="n">
        <v>46276</v>
      </c>
      <c r="B159" s="44" t="inlineStr">
        <is>
          <t>Дневная</t>
        </is>
      </c>
      <c r="C159" s="44" t="inlineStr">
        <is>
          <t>Мехобработка</t>
        </is>
      </c>
      <c r="D159" s="44" t="inlineStr">
        <is>
          <t>CNC-01</t>
        </is>
      </c>
      <c r="E159" s="44" t="inlineStr">
        <is>
          <t>Михайлов К.Д.</t>
        </is>
      </c>
      <c r="F159" s="45" t="n">
        <v>8</v>
      </c>
      <c r="G159" s="46" t="n">
        <v>0</v>
      </c>
      <c r="H159" s="44" t="n"/>
    </row>
    <row r="160">
      <c r="A160" s="43" t="n">
        <v>46276</v>
      </c>
      <c r="B160" s="44" t="inlineStr">
        <is>
          <t>Дневная</t>
        </is>
      </c>
      <c r="C160" s="44" t="inlineStr">
        <is>
          <t>Мехобработка</t>
        </is>
      </c>
      <c r="D160" s="44" t="inlineStr">
        <is>
          <t>CNC-02</t>
        </is>
      </c>
      <c r="E160" s="44" t="inlineStr">
        <is>
          <t>Морозов Л.Д.</t>
        </is>
      </c>
      <c r="F160" s="45" t="n">
        <v>6.08</v>
      </c>
      <c r="G160" s="46" t="n">
        <v>115</v>
      </c>
      <c r="H160" s="44" t="inlineStr">
        <is>
          <t>Плановое ТО</t>
        </is>
      </c>
    </row>
    <row r="161">
      <c r="A161" s="43" t="n">
        <v>46276</v>
      </c>
      <c r="B161" s="44" t="inlineStr">
        <is>
          <t>Дневная</t>
        </is>
      </c>
      <c r="C161" s="44" t="inlineStr">
        <is>
          <t>Мехобработка</t>
        </is>
      </c>
      <c r="D161" s="44" t="inlineStr">
        <is>
          <t>CNC-03</t>
        </is>
      </c>
      <c r="E161" s="44" t="inlineStr">
        <is>
          <t>Николаев О.И.</t>
        </is>
      </c>
      <c r="F161" s="45" t="n">
        <v>8</v>
      </c>
      <c r="G161" s="46" t="n">
        <v>0</v>
      </c>
      <c r="H161" s="44" t="n"/>
    </row>
    <row r="162">
      <c r="A162" s="43" t="n">
        <v>46276</v>
      </c>
      <c r="B162" s="44" t="inlineStr">
        <is>
          <t>Дневная</t>
        </is>
      </c>
      <c r="C162" s="44" t="inlineStr">
        <is>
          <t>Покраска</t>
        </is>
      </c>
      <c r="D162" s="44" t="inlineStr">
        <is>
          <t>PNT-01</t>
        </is>
      </c>
      <c r="E162" s="44" t="inlineStr">
        <is>
          <t>Смирнов С.Г.</t>
        </is>
      </c>
      <c r="F162" s="45" t="n">
        <v>4.83</v>
      </c>
      <c r="G162" s="46" t="n">
        <v>190</v>
      </c>
      <c r="H162" s="44" t="inlineStr">
        <is>
          <t>Поломка</t>
        </is>
      </c>
    </row>
    <row r="163">
      <c r="A163" s="43" t="n">
        <v>46276</v>
      </c>
      <c r="B163" s="44" t="inlineStr">
        <is>
          <t>Дневная</t>
        </is>
      </c>
      <c r="C163" s="44" t="inlineStr">
        <is>
          <t>Сварка</t>
        </is>
      </c>
      <c r="D163" s="44" t="inlineStr">
        <is>
          <t>WLD-01</t>
        </is>
      </c>
      <c r="E163" s="44" t="inlineStr">
        <is>
          <t>Фёдоров В.К.</t>
        </is>
      </c>
      <c r="F163" s="45" t="n">
        <v>8</v>
      </c>
      <c r="G163" s="46" t="n">
        <v>0</v>
      </c>
      <c r="H163" s="44" t="n"/>
    </row>
    <row r="164">
      <c r="A164" s="43" t="n">
        <v>46276</v>
      </c>
      <c r="B164" s="44" t="inlineStr">
        <is>
          <t>Дневная</t>
        </is>
      </c>
      <c r="C164" s="44" t="inlineStr">
        <is>
          <t>Сварка</t>
        </is>
      </c>
      <c r="D164" s="44" t="inlineStr">
        <is>
          <t>WLD-02</t>
        </is>
      </c>
      <c r="E164" s="44" t="inlineStr">
        <is>
          <t>Кузнецов П.Г.</t>
        </is>
      </c>
      <c r="F164" s="45" t="n">
        <v>8</v>
      </c>
      <c r="G164" s="46" t="n">
        <v>0</v>
      </c>
      <c r="H164" s="44" t="n"/>
    </row>
    <row r="165">
      <c r="A165" s="43" t="n">
        <v>46276</v>
      </c>
      <c r="B165" s="44" t="inlineStr">
        <is>
          <t>Ночная</t>
        </is>
      </c>
      <c r="C165" s="44" t="inlineStr">
        <is>
          <t>Мехобработка</t>
        </is>
      </c>
      <c r="D165" s="44" t="inlineStr">
        <is>
          <t>CNC-01</t>
        </is>
      </c>
      <c r="E165" s="44" t="inlineStr">
        <is>
          <t>Соколов Н.Г.</t>
        </is>
      </c>
      <c r="F165" s="45" t="n">
        <v>8</v>
      </c>
      <c r="G165" s="46" t="n">
        <v>0</v>
      </c>
      <c r="H165" s="44" t="n"/>
    </row>
    <row r="166">
      <c r="A166" s="43" t="n">
        <v>46276</v>
      </c>
      <c r="B166" s="44" t="inlineStr">
        <is>
          <t>Ночная</t>
        </is>
      </c>
      <c r="C166" s="44" t="inlineStr">
        <is>
          <t>Мехобработка</t>
        </is>
      </c>
      <c r="D166" s="44" t="inlineStr">
        <is>
          <t>CNC-02</t>
        </is>
      </c>
      <c r="E166" s="44" t="inlineStr">
        <is>
          <t>Михайлов С.Л.</t>
        </is>
      </c>
      <c r="F166" s="45" t="n">
        <v>7.42</v>
      </c>
      <c r="G166" s="46" t="n">
        <v>35</v>
      </c>
      <c r="H166" s="44" t="inlineStr">
        <is>
          <t>Замена инструмента</t>
        </is>
      </c>
    </row>
    <row r="167">
      <c r="A167" s="43" t="n">
        <v>46277</v>
      </c>
      <c r="B167" s="44" t="inlineStr">
        <is>
          <t>Дневная</t>
        </is>
      </c>
      <c r="C167" s="44" t="inlineStr">
        <is>
          <t>Сборка</t>
        </is>
      </c>
      <c r="D167" s="44" t="inlineStr">
        <is>
          <t>ASM-01</t>
        </is>
      </c>
      <c r="E167" s="44" t="inlineStr">
        <is>
          <t>Волков О.Л.</t>
        </is>
      </c>
      <c r="F167" s="45" t="n">
        <v>5.42</v>
      </c>
      <c r="G167" s="46" t="n">
        <v>155</v>
      </c>
      <c r="H167" s="44" t="inlineStr">
        <is>
          <t>Нет материала</t>
        </is>
      </c>
    </row>
    <row r="168">
      <c r="A168" s="43" t="n">
        <v>46277</v>
      </c>
      <c r="B168" s="44" t="inlineStr">
        <is>
          <t>Дневная</t>
        </is>
      </c>
      <c r="C168" s="44" t="inlineStr">
        <is>
          <t>Сборка</t>
        </is>
      </c>
      <c r="D168" s="44" t="inlineStr">
        <is>
          <t>ASM-02</t>
        </is>
      </c>
      <c r="E168" s="44" t="inlineStr">
        <is>
          <t>Попов А.Л.</t>
        </is>
      </c>
      <c r="F168" s="45" t="n">
        <v>7.33</v>
      </c>
      <c r="G168" s="46" t="n">
        <v>40</v>
      </c>
      <c r="H168" s="44" t="inlineStr">
        <is>
          <t>Переналадка</t>
        </is>
      </c>
    </row>
    <row r="169">
      <c r="A169" s="43" t="n">
        <v>46277</v>
      </c>
      <c r="B169" s="44" t="inlineStr">
        <is>
          <t>Дневная</t>
        </is>
      </c>
      <c r="C169" s="44" t="inlineStr">
        <is>
          <t>Мехобработка</t>
        </is>
      </c>
      <c r="D169" s="44" t="inlineStr">
        <is>
          <t>CNC-01</t>
        </is>
      </c>
      <c r="E169" s="44" t="inlineStr">
        <is>
          <t>Михайлов К.Д.</t>
        </is>
      </c>
      <c r="F169" s="45" t="n">
        <v>7.5</v>
      </c>
      <c r="G169" s="46" t="n">
        <v>30</v>
      </c>
      <c r="H169" s="44" t="inlineStr">
        <is>
          <t>Контроль качества</t>
        </is>
      </c>
    </row>
    <row r="170">
      <c r="A170" s="43" t="n">
        <v>46277</v>
      </c>
      <c r="B170" s="44" t="inlineStr">
        <is>
          <t>Дневная</t>
        </is>
      </c>
      <c r="C170" s="44" t="inlineStr">
        <is>
          <t>Мехобработка</t>
        </is>
      </c>
      <c r="D170" s="44" t="inlineStr">
        <is>
          <t>CNC-02</t>
        </is>
      </c>
      <c r="E170" s="44" t="inlineStr">
        <is>
          <t>Морозов Л.Д.</t>
        </is>
      </c>
      <c r="F170" s="45" t="n">
        <v>7.42</v>
      </c>
      <c r="G170" s="46" t="n">
        <v>35</v>
      </c>
      <c r="H170" s="44" t="inlineStr">
        <is>
          <t>Переналадка</t>
        </is>
      </c>
    </row>
    <row r="171">
      <c r="A171" s="43" t="n">
        <v>46277</v>
      </c>
      <c r="B171" s="44" t="inlineStr">
        <is>
          <t>Дневная</t>
        </is>
      </c>
      <c r="C171" s="44" t="inlineStr">
        <is>
          <t>Мехобработка</t>
        </is>
      </c>
      <c r="D171" s="44" t="inlineStr">
        <is>
          <t>CNC-03</t>
        </is>
      </c>
      <c r="E171" s="44" t="inlineStr">
        <is>
          <t>Николаев О.И.</t>
        </is>
      </c>
      <c r="F171" s="45" t="n">
        <v>8</v>
      </c>
      <c r="G171" s="46" t="n">
        <v>0</v>
      </c>
      <c r="H171" s="44" t="n"/>
    </row>
    <row r="172">
      <c r="A172" s="43" t="n">
        <v>46277</v>
      </c>
      <c r="B172" s="44" t="inlineStr">
        <is>
          <t>Дневная</t>
        </is>
      </c>
      <c r="C172" s="44" t="inlineStr">
        <is>
          <t>Покраска</t>
        </is>
      </c>
      <c r="D172" s="44" t="inlineStr">
        <is>
          <t>PNT-01</t>
        </is>
      </c>
      <c r="E172" s="44" t="inlineStr">
        <is>
          <t>Смирнов С.Г.</t>
        </is>
      </c>
      <c r="F172" s="45" t="n">
        <v>7.5</v>
      </c>
      <c r="G172" s="46" t="n">
        <v>30</v>
      </c>
      <c r="H172" s="44" t="inlineStr">
        <is>
          <t>Замена инструмента</t>
        </is>
      </c>
    </row>
    <row r="173">
      <c r="A173" s="43" t="n">
        <v>46277</v>
      </c>
      <c r="B173" s="44" t="inlineStr">
        <is>
          <t>Дневная</t>
        </is>
      </c>
      <c r="C173" s="44" t="inlineStr">
        <is>
          <t>Сварка</t>
        </is>
      </c>
      <c r="D173" s="44" t="inlineStr">
        <is>
          <t>WLD-01</t>
        </is>
      </c>
      <c r="E173" s="44" t="inlineStr">
        <is>
          <t>Фёдоров В.К.</t>
        </is>
      </c>
      <c r="F173" s="45" t="n">
        <v>7.33</v>
      </c>
      <c r="G173" s="46" t="n">
        <v>40</v>
      </c>
      <c r="H173" s="44" t="inlineStr">
        <is>
          <t>Переналадка</t>
        </is>
      </c>
    </row>
    <row r="174">
      <c r="A174" s="43" t="n">
        <v>46277</v>
      </c>
      <c r="B174" s="44" t="inlineStr">
        <is>
          <t>Дневная</t>
        </is>
      </c>
      <c r="C174" s="44" t="inlineStr">
        <is>
          <t>Сварка</t>
        </is>
      </c>
      <c r="D174" s="44" t="inlineStr">
        <is>
          <t>WLD-02</t>
        </is>
      </c>
      <c r="E174" s="44" t="inlineStr">
        <is>
          <t>Кузнецов П.Г.</t>
        </is>
      </c>
      <c r="F174" s="45" t="n">
        <v>5.67</v>
      </c>
      <c r="G174" s="46" t="n">
        <v>140</v>
      </c>
      <c r="H174" s="44" t="inlineStr">
        <is>
          <t>Плановое ТО</t>
        </is>
      </c>
    </row>
    <row r="175">
      <c r="A175" s="43" t="n">
        <v>46279</v>
      </c>
      <c r="B175" s="44" t="inlineStr">
        <is>
          <t>Вечерняя</t>
        </is>
      </c>
      <c r="C175" s="44" t="inlineStr">
        <is>
          <t>Сборка</t>
        </is>
      </c>
      <c r="D175" s="44" t="inlineStr">
        <is>
          <t>ASM-01</t>
        </is>
      </c>
      <c r="E175" s="44" t="inlineStr">
        <is>
          <t>Кузнецов Б.К.</t>
        </is>
      </c>
      <c r="F175" s="45" t="n">
        <v>7</v>
      </c>
      <c r="G175" s="46" t="n">
        <v>60</v>
      </c>
      <c r="H175" s="44" t="inlineStr">
        <is>
          <t>Переналадка</t>
        </is>
      </c>
    </row>
    <row r="176">
      <c r="A176" s="43" t="n">
        <v>46279</v>
      </c>
      <c r="B176" s="44" t="inlineStr">
        <is>
          <t>Вечерняя</t>
        </is>
      </c>
      <c r="C176" s="44" t="inlineStr">
        <is>
          <t>Сборка</t>
        </is>
      </c>
      <c r="D176" s="44" t="inlineStr">
        <is>
          <t>ASM-02</t>
        </is>
      </c>
      <c r="E176" s="44" t="inlineStr">
        <is>
          <t>Козлов И.Р.</t>
        </is>
      </c>
      <c r="F176" s="45" t="n">
        <v>7.08</v>
      </c>
      <c r="G176" s="46" t="n">
        <v>55</v>
      </c>
      <c r="H176" s="44" t="inlineStr">
        <is>
          <t>Контроль качества</t>
        </is>
      </c>
    </row>
    <row r="177">
      <c r="A177" s="43" t="n">
        <v>46279</v>
      </c>
      <c r="B177" s="44" t="inlineStr">
        <is>
          <t>Вечерняя</t>
        </is>
      </c>
      <c r="C177" s="44" t="inlineStr">
        <is>
          <t>Мехобработка</t>
        </is>
      </c>
      <c r="D177" s="44" t="inlineStr">
        <is>
          <t>CNC-01</t>
        </is>
      </c>
      <c r="E177" s="44" t="inlineStr">
        <is>
          <t>Алексеев В.М.</t>
        </is>
      </c>
      <c r="F177" s="45" t="n">
        <v>5.75</v>
      </c>
      <c r="G177" s="46" t="n">
        <v>135</v>
      </c>
      <c r="H177" s="44" t="inlineStr">
        <is>
          <t>Плановое ТО</t>
        </is>
      </c>
    </row>
    <row r="178">
      <c r="A178" s="43" t="n">
        <v>46279</v>
      </c>
      <c r="B178" s="44" t="inlineStr">
        <is>
          <t>Вечерняя</t>
        </is>
      </c>
      <c r="C178" s="44" t="inlineStr">
        <is>
          <t>Мехобработка</t>
        </is>
      </c>
      <c r="D178" s="44" t="inlineStr">
        <is>
          <t>CNC-02</t>
        </is>
      </c>
      <c r="E178" s="44" t="inlineStr">
        <is>
          <t>Смирнов А.В.</t>
        </is>
      </c>
      <c r="F178" s="45" t="n">
        <v>7.42</v>
      </c>
      <c r="G178" s="46" t="n">
        <v>35</v>
      </c>
      <c r="H178" s="44" t="inlineStr">
        <is>
          <t>Контроль качества</t>
        </is>
      </c>
    </row>
    <row r="179">
      <c r="A179" s="43" t="n">
        <v>46279</v>
      </c>
      <c r="B179" s="44" t="inlineStr">
        <is>
          <t>Вечерняя</t>
        </is>
      </c>
      <c r="C179" s="44" t="inlineStr">
        <is>
          <t>Мехобработка</t>
        </is>
      </c>
      <c r="D179" s="44" t="inlineStr">
        <is>
          <t>CNC-03</t>
        </is>
      </c>
      <c r="E179" s="44" t="inlineStr">
        <is>
          <t>Попов П.Л.</t>
        </is>
      </c>
      <c r="F179" s="45" t="n">
        <v>3.92</v>
      </c>
      <c r="G179" s="46" t="n">
        <v>245</v>
      </c>
      <c r="H179" s="44" t="inlineStr">
        <is>
          <t>Поломка</t>
        </is>
      </c>
    </row>
    <row r="180">
      <c r="A180" s="43" t="n">
        <v>46279</v>
      </c>
      <c r="B180" s="44" t="inlineStr">
        <is>
          <t>Вечерняя</t>
        </is>
      </c>
      <c r="C180" s="44" t="inlineStr">
        <is>
          <t>Сварка</t>
        </is>
      </c>
      <c r="D180" s="44" t="inlineStr">
        <is>
          <t>WLD-01</t>
        </is>
      </c>
      <c r="E180" s="44" t="inlineStr">
        <is>
          <t>Соколов К.А.</t>
        </is>
      </c>
      <c r="F180" s="45" t="n">
        <v>8</v>
      </c>
      <c r="G180" s="46" t="n">
        <v>0</v>
      </c>
      <c r="H180" s="44" t="n"/>
    </row>
    <row r="181">
      <c r="A181" s="43" t="n">
        <v>46279</v>
      </c>
      <c r="B181" s="44" t="inlineStr">
        <is>
          <t>Вечерняя</t>
        </is>
      </c>
      <c r="C181" s="44" t="inlineStr">
        <is>
          <t>Сварка</t>
        </is>
      </c>
      <c r="D181" s="44" t="inlineStr">
        <is>
          <t>WLD-02</t>
        </is>
      </c>
      <c r="E181" s="44" t="inlineStr">
        <is>
          <t>Попов В.Р.</t>
        </is>
      </c>
      <c r="F181" s="45" t="n">
        <v>7.17</v>
      </c>
      <c r="G181" s="46" t="n">
        <v>50</v>
      </c>
      <c r="H181" s="44" t="inlineStr">
        <is>
          <t>Переналадка</t>
        </is>
      </c>
    </row>
    <row r="182">
      <c r="A182" s="43" t="n">
        <v>46279</v>
      </c>
      <c r="B182" s="44" t="inlineStr">
        <is>
          <t>Дневная</t>
        </is>
      </c>
      <c r="C182" s="44" t="inlineStr">
        <is>
          <t>Сборка</t>
        </is>
      </c>
      <c r="D182" s="44" t="inlineStr">
        <is>
          <t>ASM-01</t>
        </is>
      </c>
      <c r="E182" s="44" t="inlineStr">
        <is>
          <t>Волков О.Л.</t>
        </is>
      </c>
      <c r="F182" s="45" t="n">
        <v>7.58</v>
      </c>
      <c r="G182" s="46" t="n">
        <v>25</v>
      </c>
      <c r="H182" s="44" t="inlineStr">
        <is>
          <t>Контроль качества</t>
        </is>
      </c>
    </row>
    <row r="183">
      <c r="A183" s="43" t="n">
        <v>46279</v>
      </c>
      <c r="B183" s="44" t="inlineStr">
        <is>
          <t>Дневная</t>
        </is>
      </c>
      <c r="C183" s="44" t="inlineStr">
        <is>
          <t>Сборка</t>
        </is>
      </c>
      <c r="D183" s="44" t="inlineStr">
        <is>
          <t>ASM-02</t>
        </is>
      </c>
      <c r="E183" s="44" t="inlineStr">
        <is>
          <t>Попов А.Л.</t>
        </is>
      </c>
      <c r="F183" s="45" t="n">
        <v>6.42</v>
      </c>
      <c r="G183" s="46" t="n">
        <v>95</v>
      </c>
      <c r="H183" s="44" t="inlineStr">
        <is>
          <t>Переналадка</t>
        </is>
      </c>
    </row>
    <row r="184">
      <c r="A184" s="43" t="n">
        <v>46279</v>
      </c>
      <c r="B184" s="44" t="inlineStr">
        <is>
          <t>Дневная</t>
        </is>
      </c>
      <c r="C184" s="44" t="inlineStr">
        <is>
          <t>Мехобработка</t>
        </is>
      </c>
      <c r="D184" s="44" t="inlineStr">
        <is>
          <t>CNC-01</t>
        </is>
      </c>
      <c r="E184" s="44" t="inlineStr">
        <is>
          <t>Михайлов К.Д.</t>
        </is>
      </c>
      <c r="F184" s="45" t="n">
        <v>6.17</v>
      </c>
      <c r="G184" s="46" t="n">
        <v>110</v>
      </c>
      <c r="H184" s="44" t="inlineStr">
        <is>
          <t>Нет материала</t>
        </is>
      </c>
    </row>
    <row r="185">
      <c r="A185" s="43" t="n">
        <v>46279</v>
      </c>
      <c r="B185" s="44" t="inlineStr">
        <is>
          <t>Дневная</t>
        </is>
      </c>
      <c r="C185" s="44" t="inlineStr">
        <is>
          <t>Мехобработка</t>
        </is>
      </c>
      <c r="D185" s="44" t="inlineStr">
        <is>
          <t>CNC-02</t>
        </is>
      </c>
      <c r="E185" s="44" t="inlineStr">
        <is>
          <t>Морозов Л.Д.</t>
        </is>
      </c>
      <c r="F185" s="45" t="n">
        <v>5.5</v>
      </c>
      <c r="G185" s="46" t="n">
        <v>150</v>
      </c>
      <c r="H185" s="44" t="inlineStr">
        <is>
          <t>Поломка</t>
        </is>
      </c>
    </row>
    <row r="186">
      <c r="A186" s="43" t="n">
        <v>46279</v>
      </c>
      <c r="B186" s="44" t="inlineStr">
        <is>
          <t>Дневная</t>
        </is>
      </c>
      <c r="C186" s="44" t="inlineStr">
        <is>
          <t>Мехобработка</t>
        </is>
      </c>
      <c r="D186" s="44" t="inlineStr">
        <is>
          <t>CNC-03</t>
        </is>
      </c>
      <c r="E186" s="44" t="inlineStr">
        <is>
          <t>Николаев О.И.</t>
        </is>
      </c>
      <c r="F186" s="45" t="n">
        <v>8</v>
      </c>
      <c r="G186" s="46" t="n">
        <v>0</v>
      </c>
      <c r="H186" s="44" t="n"/>
    </row>
    <row r="187">
      <c r="A187" s="43" t="n">
        <v>46279</v>
      </c>
      <c r="B187" s="44" t="inlineStr">
        <is>
          <t>Дневная</t>
        </is>
      </c>
      <c r="C187" s="44" t="inlineStr">
        <is>
          <t>Покраска</t>
        </is>
      </c>
      <c r="D187" s="44" t="inlineStr">
        <is>
          <t>PNT-01</t>
        </is>
      </c>
      <c r="E187" s="44" t="inlineStr">
        <is>
          <t>Смирнов С.Г.</t>
        </is>
      </c>
      <c r="F187" s="45" t="n">
        <v>7.33</v>
      </c>
      <c r="G187" s="46" t="n">
        <v>40</v>
      </c>
      <c r="H187" s="44" t="inlineStr">
        <is>
          <t>Переналадка</t>
        </is>
      </c>
    </row>
    <row r="188">
      <c r="A188" s="43" t="n">
        <v>46279</v>
      </c>
      <c r="B188" s="44" t="inlineStr">
        <is>
          <t>Дневная</t>
        </is>
      </c>
      <c r="C188" s="44" t="inlineStr">
        <is>
          <t>Сварка</t>
        </is>
      </c>
      <c r="D188" s="44" t="inlineStr">
        <is>
          <t>WLD-01</t>
        </is>
      </c>
      <c r="E188" s="44" t="inlineStr">
        <is>
          <t>Фёдоров В.К.</t>
        </is>
      </c>
      <c r="F188" s="45" t="n">
        <v>8</v>
      </c>
      <c r="G188" s="46" t="n">
        <v>0</v>
      </c>
      <c r="H188" s="44" t="n"/>
    </row>
    <row r="189">
      <c r="A189" s="43" t="n">
        <v>46279</v>
      </c>
      <c r="B189" s="44" t="inlineStr">
        <is>
          <t>Дневная</t>
        </is>
      </c>
      <c r="C189" s="44" t="inlineStr">
        <is>
          <t>Сварка</t>
        </is>
      </c>
      <c r="D189" s="44" t="inlineStr">
        <is>
          <t>WLD-02</t>
        </is>
      </c>
      <c r="E189" s="44" t="inlineStr">
        <is>
          <t>Кузнецов П.Г.</t>
        </is>
      </c>
      <c r="F189" s="45" t="n">
        <v>2.42</v>
      </c>
      <c r="G189" s="46" t="n">
        <v>335</v>
      </c>
      <c r="H189" s="44" t="inlineStr">
        <is>
          <t>Поломка</t>
        </is>
      </c>
    </row>
    <row r="190">
      <c r="A190" s="43" t="n">
        <v>46279</v>
      </c>
      <c r="B190" s="44" t="inlineStr">
        <is>
          <t>Ночная</t>
        </is>
      </c>
      <c r="C190" s="44" t="inlineStr">
        <is>
          <t>Мехобработка</t>
        </is>
      </c>
      <c r="D190" s="44" t="inlineStr">
        <is>
          <t>CNC-01</t>
        </is>
      </c>
      <c r="E190" s="44" t="inlineStr">
        <is>
          <t>Соколов Н.Г.</t>
        </is>
      </c>
      <c r="F190" s="45" t="n">
        <v>6.42</v>
      </c>
      <c r="G190" s="46" t="n">
        <v>95</v>
      </c>
      <c r="H190" s="44" t="inlineStr">
        <is>
          <t>Переналадка</t>
        </is>
      </c>
    </row>
    <row r="191">
      <c r="A191" s="43" t="n">
        <v>46279</v>
      </c>
      <c r="B191" s="44" t="inlineStr">
        <is>
          <t>Ночная</t>
        </is>
      </c>
      <c r="C191" s="44" t="inlineStr">
        <is>
          <t>Мехобработка</t>
        </is>
      </c>
      <c r="D191" s="44" t="inlineStr">
        <is>
          <t>CNC-02</t>
        </is>
      </c>
      <c r="E191" s="44" t="inlineStr">
        <is>
          <t>Михайлов С.Л.</t>
        </is>
      </c>
      <c r="F191" s="45" t="n">
        <v>4.75</v>
      </c>
      <c r="G191" s="46" t="n">
        <v>195</v>
      </c>
      <c r="H191" s="44" t="inlineStr">
        <is>
          <t>Поломка</t>
        </is>
      </c>
    </row>
    <row r="192">
      <c r="A192" s="43" t="n">
        <v>46279</v>
      </c>
      <c r="B192" s="44" t="inlineStr">
        <is>
          <t>Ночная</t>
        </is>
      </c>
      <c r="C192" s="44" t="inlineStr">
        <is>
          <t>Мехобработка</t>
        </is>
      </c>
      <c r="D192" s="44" t="inlineStr">
        <is>
          <t>CNC-03</t>
        </is>
      </c>
      <c r="E192" s="44" t="inlineStr">
        <is>
          <t>Иванов Е.Р.</t>
        </is>
      </c>
      <c r="F192" s="45" t="n">
        <v>8</v>
      </c>
      <c r="G192" s="46" t="n">
        <v>0</v>
      </c>
      <c r="H192" s="44" t="n"/>
    </row>
    <row r="193">
      <c r="A193" s="43" t="n">
        <v>46280</v>
      </c>
      <c r="B193" s="44" t="inlineStr">
        <is>
          <t>Вечерняя</t>
        </is>
      </c>
      <c r="C193" s="44" t="inlineStr">
        <is>
          <t>Сборка</t>
        </is>
      </c>
      <c r="D193" s="44" t="inlineStr">
        <is>
          <t>ASM-01</t>
        </is>
      </c>
      <c r="E193" s="44" t="inlineStr">
        <is>
          <t>Кузнецов Б.К.</t>
        </is>
      </c>
      <c r="F193" s="45" t="n">
        <v>7.58</v>
      </c>
      <c r="G193" s="46" t="n">
        <v>25</v>
      </c>
      <c r="H193" s="44" t="inlineStr">
        <is>
          <t>Контроль качества</t>
        </is>
      </c>
    </row>
    <row r="194">
      <c r="A194" s="43" t="n">
        <v>46280</v>
      </c>
      <c r="B194" s="44" t="inlineStr">
        <is>
          <t>Вечерняя</t>
        </is>
      </c>
      <c r="C194" s="44" t="inlineStr">
        <is>
          <t>Сборка</t>
        </is>
      </c>
      <c r="D194" s="44" t="inlineStr">
        <is>
          <t>ASM-02</t>
        </is>
      </c>
      <c r="E194" s="44" t="inlineStr">
        <is>
          <t>Козлов И.Р.</t>
        </is>
      </c>
      <c r="F194" s="45" t="n">
        <v>6.5</v>
      </c>
      <c r="G194" s="46" t="n">
        <v>90</v>
      </c>
      <c r="H194" s="44" t="inlineStr">
        <is>
          <t>Нет материала</t>
        </is>
      </c>
    </row>
    <row r="195">
      <c r="A195" s="43" t="n">
        <v>46280</v>
      </c>
      <c r="B195" s="44" t="inlineStr">
        <is>
          <t>Вечерняя</t>
        </is>
      </c>
      <c r="C195" s="44" t="inlineStr">
        <is>
          <t>Мехобработка</t>
        </is>
      </c>
      <c r="D195" s="44" t="inlineStr">
        <is>
          <t>CNC-01</t>
        </is>
      </c>
      <c r="E195" s="44" t="inlineStr">
        <is>
          <t>Алексеев В.М.</t>
        </is>
      </c>
      <c r="F195" s="45" t="n">
        <v>7.08</v>
      </c>
      <c r="G195" s="46" t="n">
        <v>55</v>
      </c>
      <c r="H195" s="44" t="inlineStr">
        <is>
          <t>Нет материала</t>
        </is>
      </c>
    </row>
    <row r="196">
      <c r="A196" s="43" t="n">
        <v>46280</v>
      </c>
      <c r="B196" s="44" t="inlineStr">
        <is>
          <t>Вечерняя</t>
        </is>
      </c>
      <c r="C196" s="44" t="inlineStr">
        <is>
          <t>Мехобработка</t>
        </is>
      </c>
      <c r="D196" s="44" t="inlineStr">
        <is>
          <t>CNC-02</t>
        </is>
      </c>
      <c r="E196" s="44" t="inlineStr">
        <is>
          <t>Смирнов А.В.</t>
        </is>
      </c>
      <c r="F196" s="45" t="n">
        <v>2.25</v>
      </c>
      <c r="G196" s="46" t="n">
        <v>345</v>
      </c>
      <c r="H196" s="44" t="inlineStr">
        <is>
          <t>Поломка</t>
        </is>
      </c>
    </row>
    <row r="197">
      <c r="A197" s="43" t="n">
        <v>46280</v>
      </c>
      <c r="B197" s="44" t="inlineStr">
        <is>
          <t>Вечерняя</t>
        </is>
      </c>
      <c r="C197" s="44" t="inlineStr">
        <is>
          <t>Мехобработка</t>
        </is>
      </c>
      <c r="D197" s="44" t="inlineStr">
        <is>
          <t>CNC-03</t>
        </is>
      </c>
      <c r="E197" s="44" t="inlineStr">
        <is>
          <t>Попов П.Л.</t>
        </is>
      </c>
      <c r="F197" s="45" t="n">
        <v>8</v>
      </c>
      <c r="G197" s="46" t="n">
        <v>0</v>
      </c>
      <c r="H197" s="44" t="n"/>
    </row>
    <row r="198">
      <c r="A198" s="43" t="n">
        <v>46280</v>
      </c>
      <c r="B198" s="44" t="inlineStr">
        <is>
          <t>Вечерняя</t>
        </is>
      </c>
      <c r="C198" s="44" t="inlineStr">
        <is>
          <t>Сварка</t>
        </is>
      </c>
      <c r="D198" s="44" t="inlineStr">
        <is>
          <t>WLD-01</t>
        </is>
      </c>
      <c r="E198" s="44" t="inlineStr">
        <is>
          <t>Соколов К.А.</t>
        </is>
      </c>
      <c r="F198" s="45" t="n">
        <v>6.83</v>
      </c>
      <c r="G198" s="46" t="n">
        <v>70</v>
      </c>
      <c r="H198" s="44" t="inlineStr">
        <is>
          <t>Нет материала</t>
        </is>
      </c>
    </row>
    <row r="199">
      <c r="A199" s="43" t="n">
        <v>46280</v>
      </c>
      <c r="B199" s="44" t="inlineStr">
        <is>
          <t>Вечерняя</t>
        </is>
      </c>
      <c r="C199" s="44" t="inlineStr">
        <is>
          <t>Сварка</t>
        </is>
      </c>
      <c r="D199" s="44" t="inlineStr">
        <is>
          <t>WLD-02</t>
        </is>
      </c>
      <c r="E199" s="44" t="inlineStr">
        <is>
          <t>Попов В.Р.</t>
        </is>
      </c>
      <c r="F199" s="45" t="n">
        <v>8</v>
      </c>
      <c r="G199" s="46" t="n">
        <v>0</v>
      </c>
      <c r="H199" s="44" t="n"/>
    </row>
    <row r="200">
      <c r="A200" s="43" t="n">
        <v>46280</v>
      </c>
      <c r="B200" s="44" t="inlineStr">
        <is>
          <t>Дневная</t>
        </is>
      </c>
      <c r="C200" s="44" t="inlineStr">
        <is>
          <t>Сборка</t>
        </is>
      </c>
      <c r="D200" s="44" t="inlineStr">
        <is>
          <t>ASM-01</t>
        </is>
      </c>
      <c r="E200" s="44" t="inlineStr">
        <is>
          <t>Волков О.Л.</t>
        </is>
      </c>
      <c r="F200" s="45" t="n">
        <v>8</v>
      </c>
      <c r="G200" s="46" t="n">
        <v>0</v>
      </c>
      <c r="H200" s="44" t="n"/>
    </row>
    <row r="201">
      <c r="A201" s="43" t="n">
        <v>46280</v>
      </c>
      <c r="B201" s="44" t="inlineStr">
        <is>
          <t>Дневная</t>
        </is>
      </c>
      <c r="C201" s="44" t="inlineStr">
        <is>
          <t>Сборка</t>
        </is>
      </c>
      <c r="D201" s="44" t="inlineStr">
        <is>
          <t>ASM-02</t>
        </is>
      </c>
      <c r="E201" s="44" t="inlineStr">
        <is>
          <t>Попов А.Л.</t>
        </is>
      </c>
      <c r="F201" s="45" t="n">
        <v>8</v>
      </c>
      <c r="G201" s="46" t="n">
        <v>0</v>
      </c>
      <c r="H201" s="44" t="n"/>
    </row>
    <row r="202">
      <c r="A202" s="43" t="n">
        <v>46280</v>
      </c>
      <c r="B202" s="44" t="inlineStr">
        <is>
          <t>Дневная</t>
        </is>
      </c>
      <c r="C202" s="44" t="inlineStr">
        <is>
          <t>Мехобработка</t>
        </is>
      </c>
      <c r="D202" s="44" t="inlineStr">
        <is>
          <t>CNC-01</t>
        </is>
      </c>
      <c r="E202" s="44" t="inlineStr">
        <is>
          <t>Михайлов К.Д.</t>
        </is>
      </c>
      <c r="F202" s="45" t="n">
        <v>8</v>
      </c>
      <c r="G202" s="46" t="n">
        <v>0</v>
      </c>
      <c r="H202" s="44" t="n"/>
    </row>
    <row r="203">
      <c r="A203" s="43" t="n">
        <v>46280</v>
      </c>
      <c r="B203" s="44" t="inlineStr">
        <is>
          <t>Дневная</t>
        </is>
      </c>
      <c r="C203" s="44" t="inlineStr">
        <is>
          <t>Мехобработка</t>
        </is>
      </c>
      <c r="D203" s="44" t="inlineStr">
        <is>
          <t>CNC-02</t>
        </is>
      </c>
      <c r="E203" s="44" t="inlineStr">
        <is>
          <t>Морозов Л.Д.</t>
        </is>
      </c>
      <c r="F203" s="45" t="n">
        <v>7.42</v>
      </c>
      <c r="G203" s="46" t="n">
        <v>35</v>
      </c>
      <c r="H203" s="44" t="inlineStr">
        <is>
          <t>Переналадка</t>
        </is>
      </c>
    </row>
    <row r="204">
      <c r="A204" s="43" t="n">
        <v>46280</v>
      </c>
      <c r="B204" s="44" t="inlineStr">
        <is>
          <t>Дневная</t>
        </is>
      </c>
      <c r="C204" s="44" t="inlineStr">
        <is>
          <t>Мехобработка</t>
        </is>
      </c>
      <c r="D204" s="44" t="inlineStr">
        <is>
          <t>CNC-03</t>
        </is>
      </c>
      <c r="E204" s="44" t="inlineStr">
        <is>
          <t>Николаев О.И.</t>
        </is>
      </c>
      <c r="F204" s="45" t="n">
        <v>7.17</v>
      </c>
      <c r="G204" s="46" t="n">
        <v>50</v>
      </c>
      <c r="H204" s="44" t="inlineStr">
        <is>
          <t>Контроль качества</t>
        </is>
      </c>
    </row>
    <row r="205">
      <c r="A205" s="43" t="n">
        <v>46280</v>
      </c>
      <c r="B205" s="44" t="inlineStr">
        <is>
          <t>Дневная</t>
        </is>
      </c>
      <c r="C205" s="44" t="inlineStr">
        <is>
          <t>Покраска</t>
        </is>
      </c>
      <c r="D205" s="44" t="inlineStr">
        <is>
          <t>PNT-01</t>
        </is>
      </c>
      <c r="E205" s="44" t="inlineStr">
        <is>
          <t>Смирнов С.Г.</t>
        </is>
      </c>
      <c r="F205" s="45" t="n">
        <v>5.83</v>
      </c>
      <c r="G205" s="46" t="n">
        <v>130</v>
      </c>
      <c r="H205" s="44" t="inlineStr">
        <is>
          <t>Плановое ТО</t>
        </is>
      </c>
    </row>
    <row r="206">
      <c r="A206" s="43" t="n">
        <v>46280</v>
      </c>
      <c r="B206" s="44" t="inlineStr">
        <is>
          <t>Дневная</t>
        </is>
      </c>
      <c r="C206" s="44" t="inlineStr">
        <is>
          <t>Сварка</t>
        </is>
      </c>
      <c r="D206" s="44" t="inlineStr">
        <is>
          <t>WLD-01</t>
        </is>
      </c>
      <c r="E206" s="44" t="inlineStr">
        <is>
          <t>Фёдоров В.К.</t>
        </is>
      </c>
      <c r="F206" s="45" t="n">
        <v>2.08</v>
      </c>
      <c r="G206" s="46" t="n">
        <v>355</v>
      </c>
      <c r="H206" s="44" t="inlineStr">
        <is>
          <t>Поломка</t>
        </is>
      </c>
    </row>
    <row r="207">
      <c r="A207" s="43" t="n">
        <v>46280</v>
      </c>
      <c r="B207" s="44" t="inlineStr">
        <is>
          <t>Дневная</t>
        </is>
      </c>
      <c r="C207" s="44" t="inlineStr">
        <is>
          <t>Сварка</t>
        </is>
      </c>
      <c r="D207" s="44" t="inlineStr">
        <is>
          <t>WLD-02</t>
        </is>
      </c>
      <c r="E207" s="44" t="inlineStr">
        <is>
          <t>Кузнецов П.Г.</t>
        </is>
      </c>
      <c r="F207" s="45" t="n">
        <v>8</v>
      </c>
      <c r="G207" s="46" t="n">
        <v>0</v>
      </c>
      <c r="H207" s="44" t="n"/>
    </row>
    <row r="208">
      <c r="A208" s="43" t="n">
        <v>46280</v>
      </c>
      <c r="B208" s="44" t="inlineStr">
        <is>
          <t>Ночная</t>
        </is>
      </c>
      <c r="C208" s="44" t="inlineStr">
        <is>
          <t>Мехобработка</t>
        </is>
      </c>
      <c r="D208" s="44" t="inlineStr">
        <is>
          <t>CNC-02</t>
        </is>
      </c>
      <c r="E208" s="44" t="inlineStr">
        <is>
          <t>Михайлов С.Л.</t>
        </is>
      </c>
      <c r="F208" s="45" t="n">
        <v>7.5</v>
      </c>
      <c r="G208" s="46" t="n">
        <v>30</v>
      </c>
      <c r="H208" s="44" t="inlineStr">
        <is>
          <t>Переналадка</t>
        </is>
      </c>
    </row>
    <row r="209">
      <c r="A209" s="43" t="n">
        <v>46280</v>
      </c>
      <c r="B209" s="44" t="inlineStr">
        <is>
          <t>Ночная</t>
        </is>
      </c>
      <c r="C209" s="44" t="inlineStr">
        <is>
          <t>Мехобработка</t>
        </is>
      </c>
      <c r="D209" s="44" t="inlineStr">
        <is>
          <t>CNC-03</t>
        </is>
      </c>
      <c r="E209" s="44" t="inlineStr">
        <is>
          <t>Иванов Е.Р.</t>
        </is>
      </c>
      <c r="F209" s="45" t="n">
        <v>6.75</v>
      </c>
      <c r="G209" s="46" t="n">
        <v>75</v>
      </c>
      <c r="H209" s="44" t="inlineStr">
        <is>
          <t>Переналадка</t>
        </is>
      </c>
    </row>
    <row r="210">
      <c r="A210" s="43" t="n">
        <v>46281</v>
      </c>
      <c r="B210" s="44" t="inlineStr">
        <is>
          <t>Вечерняя</t>
        </is>
      </c>
      <c r="C210" s="44" t="inlineStr">
        <is>
          <t>Сборка</t>
        </is>
      </c>
      <c r="D210" s="44" t="inlineStr">
        <is>
          <t>ASM-01</t>
        </is>
      </c>
      <c r="E210" s="44" t="inlineStr">
        <is>
          <t>Кузнецов Б.К.</t>
        </is>
      </c>
      <c r="F210" s="45" t="n">
        <v>7.67</v>
      </c>
      <c r="G210" s="46" t="n">
        <v>20</v>
      </c>
      <c r="H210" s="44" t="inlineStr">
        <is>
          <t>Замена инструмента</t>
        </is>
      </c>
    </row>
    <row r="211">
      <c r="A211" s="43" t="n">
        <v>46281</v>
      </c>
      <c r="B211" s="44" t="inlineStr">
        <is>
          <t>Вечерняя</t>
        </is>
      </c>
      <c r="C211" s="44" t="inlineStr">
        <is>
          <t>Сборка</t>
        </is>
      </c>
      <c r="D211" s="44" t="inlineStr">
        <is>
          <t>ASM-02</t>
        </is>
      </c>
      <c r="E211" s="44" t="inlineStr">
        <is>
          <t>Козлов И.Р.</t>
        </is>
      </c>
      <c r="F211" s="45" t="n">
        <v>5.83</v>
      </c>
      <c r="G211" s="46" t="n">
        <v>130</v>
      </c>
      <c r="H211" s="44" t="inlineStr">
        <is>
          <t>Нет материала</t>
        </is>
      </c>
    </row>
    <row r="212">
      <c r="A212" s="43" t="n">
        <v>46281</v>
      </c>
      <c r="B212" s="44" t="inlineStr">
        <is>
          <t>Вечерняя</t>
        </is>
      </c>
      <c r="C212" s="44" t="inlineStr">
        <is>
          <t>Мехобработка</t>
        </is>
      </c>
      <c r="D212" s="44" t="inlineStr">
        <is>
          <t>CNC-01</t>
        </is>
      </c>
      <c r="E212" s="44" t="inlineStr">
        <is>
          <t>Алексеев В.М.</t>
        </is>
      </c>
      <c r="F212" s="45" t="n">
        <v>4.25</v>
      </c>
      <c r="G212" s="46" t="n">
        <v>225</v>
      </c>
      <c r="H212" s="44" t="inlineStr">
        <is>
          <t>Поломка</t>
        </is>
      </c>
    </row>
    <row r="213">
      <c r="A213" s="43" t="n">
        <v>46281</v>
      </c>
      <c r="B213" s="44" t="inlineStr">
        <is>
          <t>Вечерняя</t>
        </is>
      </c>
      <c r="C213" s="44" t="inlineStr">
        <is>
          <t>Мехобработка</t>
        </is>
      </c>
      <c r="D213" s="44" t="inlineStr">
        <is>
          <t>CNC-02</t>
        </is>
      </c>
      <c r="E213" s="44" t="inlineStr">
        <is>
          <t>Смирнов А.В.</t>
        </is>
      </c>
      <c r="F213" s="45" t="n">
        <v>5.67</v>
      </c>
      <c r="G213" s="46" t="n">
        <v>140</v>
      </c>
      <c r="H213" s="44" t="inlineStr">
        <is>
          <t>Поломка</t>
        </is>
      </c>
    </row>
    <row r="214">
      <c r="A214" s="43" t="n">
        <v>46281</v>
      </c>
      <c r="B214" s="44" t="inlineStr">
        <is>
          <t>Вечерняя</t>
        </is>
      </c>
      <c r="C214" s="44" t="inlineStr">
        <is>
          <t>Мехобработка</t>
        </is>
      </c>
      <c r="D214" s="44" t="inlineStr">
        <is>
          <t>CNC-03</t>
        </is>
      </c>
      <c r="E214" s="44" t="inlineStr">
        <is>
          <t>Попов П.Л.</t>
        </is>
      </c>
      <c r="F214" s="45" t="n">
        <v>8</v>
      </c>
      <c r="G214" s="46" t="n">
        <v>0</v>
      </c>
      <c r="H214" s="44" t="n"/>
    </row>
    <row r="215">
      <c r="A215" s="43" t="n">
        <v>46281</v>
      </c>
      <c r="B215" s="44" t="inlineStr">
        <is>
          <t>Вечерняя</t>
        </is>
      </c>
      <c r="C215" s="44" t="inlineStr">
        <is>
          <t>Сварка</t>
        </is>
      </c>
      <c r="D215" s="44" t="inlineStr">
        <is>
          <t>WLD-01</t>
        </is>
      </c>
      <c r="E215" s="44" t="inlineStr">
        <is>
          <t>Соколов К.А.</t>
        </is>
      </c>
      <c r="F215" s="45" t="n">
        <v>6.5</v>
      </c>
      <c r="G215" s="46" t="n">
        <v>90</v>
      </c>
      <c r="H215" s="44" t="inlineStr">
        <is>
          <t>Переналадка</t>
        </is>
      </c>
    </row>
    <row r="216">
      <c r="A216" s="43" t="n">
        <v>46281</v>
      </c>
      <c r="B216" s="44" t="inlineStr">
        <is>
          <t>Вечерняя</t>
        </is>
      </c>
      <c r="C216" s="44" t="inlineStr">
        <is>
          <t>Сварка</t>
        </is>
      </c>
      <c r="D216" s="44" t="inlineStr">
        <is>
          <t>WLD-02</t>
        </is>
      </c>
      <c r="E216" s="44" t="inlineStr">
        <is>
          <t>Попов В.Р.</t>
        </is>
      </c>
      <c r="F216" s="45" t="n">
        <v>7.58</v>
      </c>
      <c r="G216" s="46" t="n">
        <v>25</v>
      </c>
      <c r="H216" s="44" t="inlineStr">
        <is>
          <t>Замена инструмента</t>
        </is>
      </c>
    </row>
    <row r="217">
      <c r="A217" s="43" t="n">
        <v>46281</v>
      </c>
      <c r="B217" s="44" t="inlineStr">
        <is>
          <t>Дневная</t>
        </is>
      </c>
      <c r="C217" s="44" t="inlineStr">
        <is>
          <t>Сборка</t>
        </is>
      </c>
      <c r="D217" s="44" t="inlineStr">
        <is>
          <t>ASM-01</t>
        </is>
      </c>
      <c r="E217" s="44" t="inlineStr">
        <is>
          <t>Волков О.Л.</t>
        </is>
      </c>
      <c r="F217" s="45" t="n">
        <v>7.33</v>
      </c>
      <c r="G217" s="46" t="n">
        <v>40</v>
      </c>
      <c r="H217" s="44" t="inlineStr">
        <is>
          <t>Контроль качества</t>
        </is>
      </c>
    </row>
    <row r="218">
      <c r="A218" s="43" t="n">
        <v>46281</v>
      </c>
      <c r="B218" s="44" t="inlineStr">
        <is>
          <t>Дневная</t>
        </is>
      </c>
      <c r="C218" s="44" t="inlineStr">
        <is>
          <t>Сборка</t>
        </is>
      </c>
      <c r="D218" s="44" t="inlineStr">
        <is>
          <t>ASM-02</t>
        </is>
      </c>
      <c r="E218" s="44" t="inlineStr">
        <is>
          <t>Попов А.Л.</t>
        </is>
      </c>
      <c r="F218" s="45" t="n">
        <v>5.75</v>
      </c>
      <c r="G218" s="46" t="n">
        <v>135</v>
      </c>
      <c r="H218" s="44" t="inlineStr">
        <is>
          <t>Плановое ТО</t>
        </is>
      </c>
    </row>
    <row r="219">
      <c r="A219" s="43" t="n">
        <v>46281</v>
      </c>
      <c r="B219" s="44" t="inlineStr">
        <is>
          <t>Дневная</t>
        </is>
      </c>
      <c r="C219" s="44" t="inlineStr">
        <is>
          <t>Мехобработка</t>
        </is>
      </c>
      <c r="D219" s="44" t="inlineStr">
        <is>
          <t>CNC-01</t>
        </is>
      </c>
      <c r="E219" s="44" t="inlineStr">
        <is>
          <t>Михайлов К.Д.</t>
        </is>
      </c>
      <c r="F219" s="45" t="n">
        <v>5.58</v>
      </c>
      <c r="G219" s="46" t="n">
        <v>145</v>
      </c>
      <c r="H219" s="44" t="inlineStr">
        <is>
          <t>Плановое ТО</t>
        </is>
      </c>
    </row>
    <row r="220">
      <c r="A220" s="43" t="n">
        <v>46281</v>
      </c>
      <c r="B220" s="44" t="inlineStr">
        <is>
          <t>Дневная</t>
        </is>
      </c>
      <c r="C220" s="44" t="inlineStr">
        <is>
          <t>Мехобработка</t>
        </is>
      </c>
      <c r="D220" s="44" t="inlineStr">
        <is>
          <t>CNC-02</t>
        </is>
      </c>
      <c r="E220" s="44" t="inlineStr">
        <is>
          <t>Морозов Л.Д.</t>
        </is>
      </c>
      <c r="F220" s="45" t="n">
        <v>6.58</v>
      </c>
      <c r="G220" s="46" t="n">
        <v>85</v>
      </c>
      <c r="H220" s="44" t="inlineStr">
        <is>
          <t>Переналадка</t>
        </is>
      </c>
    </row>
    <row r="221">
      <c r="A221" s="43" t="n">
        <v>46281</v>
      </c>
      <c r="B221" s="44" t="inlineStr">
        <is>
          <t>Дневная</t>
        </is>
      </c>
      <c r="C221" s="44" t="inlineStr">
        <is>
          <t>Мехобработка</t>
        </is>
      </c>
      <c r="D221" s="44" t="inlineStr">
        <is>
          <t>CNC-03</t>
        </is>
      </c>
      <c r="E221" s="44" t="inlineStr">
        <is>
          <t>Николаев О.И.</t>
        </is>
      </c>
      <c r="F221" s="45" t="n">
        <v>8</v>
      </c>
      <c r="G221" s="46" t="n">
        <v>0</v>
      </c>
      <c r="H221" s="44" t="n"/>
    </row>
    <row r="222">
      <c r="A222" s="43" t="n">
        <v>46281</v>
      </c>
      <c r="B222" s="44" t="inlineStr">
        <is>
          <t>Дневная</t>
        </is>
      </c>
      <c r="C222" s="44" t="inlineStr">
        <is>
          <t>Покраска</t>
        </is>
      </c>
      <c r="D222" s="44" t="inlineStr">
        <is>
          <t>PNT-01</t>
        </is>
      </c>
      <c r="E222" s="44" t="inlineStr">
        <is>
          <t>Смирнов С.Г.</t>
        </is>
      </c>
      <c r="F222" s="45" t="n">
        <v>8</v>
      </c>
      <c r="G222" s="46" t="n">
        <v>0</v>
      </c>
      <c r="H222" s="44" t="n"/>
    </row>
    <row r="223">
      <c r="A223" s="43" t="n">
        <v>46281</v>
      </c>
      <c r="B223" s="44" t="inlineStr">
        <is>
          <t>Дневная</t>
        </is>
      </c>
      <c r="C223" s="44" t="inlineStr">
        <is>
          <t>Сварка</t>
        </is>
      </c>
      <c r="D223" s="44" t="inlineStr">
        <is>
          <t>WLD-01</t>
        </is>
      </c>
      <c r="E223" s="44" t="inlineStr">
        <is>
          <t>Фёдоров В.К.</t>
        </is>
      </c>
      <c r="F223" s="45" t="n">
        <v>6.83</v>
      </c>
      <c r="G223" s="46" t="n">
        <v>70</v>
      </c>
      <c r="H223" s="44" t="inlineStr">
        <is>
          <t>Нет материала</t>
        </is>
      </c>
    </row>
    <row r="224">
      <c r="A224" s="43" t="n">
        <v>46281</v>
      </c>
      <c r="B224" s="44" t="inlineStr">
        <is>
          <t>Ночная</t>
        </is>
      </c>
      <c r="C224" s="44" t="inlineStr">
        <is>
          <t>Мехобработка</t>
        </is>
      </c>
      <c r="D224" s="44" t="inlineStr">
        <is>
          <t>CNC-01</t>
        </is>
      </c>
      <c r="E224" s="44" t="inlineStr">
        <is>
          <t>Соколов Н.Г.</t>
        </is>
      </c>
      <c r="F224" s="45" t="n">
        <v>8</v>
      </c>
      <c r="G224" s="46" t="n">
        <v>0</v>
      </c>
      <c r="H224" s="44" t="n"/>
    </row>
    <row r="225">
      <c r="A225" s="43" t="n">
        <v>46281</v>
      </c>
      <c r="B225" s="44" t="inlineStr">
        <is>
          <t>Ночная</t>
        </is>
      </c>
      <c r="C225" s="44" t="inlineStr">
        <is>
          <t>Мехобработка</t>
        </is>
      </c>
      <c r="D225" s="44" t="inlineStr">
        <is>
          <t>CNC-02</t>
        </is>
      </c>
      <c r="E225" s="44" t="inlineStr">
        <is>
          <t>Михайлов С.Л.</t>
        </is>
      </c>
      <c r="F225" s="45" t="n">
        <v>8</v>
      </c>
      <c r="G225" s="46" t="n">
        <v>0</v>
      </c>
      <c r="H225" s="44" t="n"/>
    </row>
    <row r="226">
      <c r="A226" s="43" t="n">
        <v>46281</v>
      </c>
      <c r="B226" s="44" t="inlineStr">
        <is>
          <t>Ночная</t>
        </is>
      </c>
      <c r="C226" s="44" t="inlineStr">
        <is>
          <t>Мехобработка</t>
        </is>
      </c>
      <c r="D226" s="44" t="inlineStr">
        <is>
          <t>CNC-03</t>
        </is>
      </c>
      <c r="E226" s="44" t="inlineStr">
        <is>
          <t>Иванов Е.Р.</t>
        </is>
      </c>
      <c r="F226" s="45" t="n">
        <v>8</v>
      </c>
      <c r="G226" s="46" t="n">
        <v>0</v>
      </c>
      <c r="H226" s="44" t="n"/>
    </row>
    <row r="227">
      <c r="A227" s="43" t="n">
        <v>46282</v>
      </c>
      <c r="B227" s="44" t="inlineStr">
        <is>
          <t>Вечерняя</t>
        </is>
      </c>
      <c r="C227" s="44" t="inlineStr">
        <is>
          <t>Сборка</t>
        </is>
      </c>
      <c r="D227" s="44" t="inlineStr">
        <is>
          <t>ASM-01</t>
        </is>
      </c>
      <c r="E227" s="44" t="inlineStr">
        <is>
          <t>Кузнецов Б.К.</t>
        </is>
      </c>
      <c r="F227" s="45" t="n">
        <v>6.75</v>
      </c>
      <c r="G227" s="46" t="n">
        <v>75</v>
      </c>
      <c r="H227" s="44" t="inlineStr">
        <is>
          <t>Переналадка</t>
        </is>
      </c>
    </row>
    <row r="228">
      <c r="A228" s="43" t="n">
        <v>46282</v>
      </c>
      <c r="B228" s="44" t="inlineStr">
        <is>
          <t>Вечерняя</t>
        </is>
      </c>
      <c r="C228" s="44" t="inlineStr">
        <is>
          <t>Мехобработка</t>
        </is>
      </c>
      <c r="D228" s="44" t="inlineStr">
        <is>
          <t>CNC-01</t>
        </is>
      </c>
      <c r="E228" s="44" t="inlineStr">
        <is>
          <t>Алексеев В.М.</t>
        </is>
      </c>
      <c r="F228" s="45" t="n">
        <v>8</v>
      </c>
      <c r="G228" s="46" t="n">
        <v>0</v>
      </c>
      <c r="H228" s="44" t="n"/>
    </row>
    <row r="229">
      <c r="A229" s="43" t="n">
        <v>46282</v>
      </c>
      <c r="B229" s="44" t="inlineStr">
        <is>
          <t>Вечерняя</t>
        </is>
      </c>
      <c r="C229" s="44" t="inlineStr">
        <is>
          <t>Мехобработка</t>
        </is>
      </c>
      <c r="D229" s="44" t="inlineStr">
        <is>
          <t>CNC-02</t>
        </is>
      </c>
      <c r="E229" s="44" t="inlineStr">
        <is>
          <t>Смирнов А.В.</t>
        </is>
      </c>
      <c r="F229" s="45" t="n">
        <v>8</v>
      </c>
      <c r="G229" s="46" t="n">
        <v>0</v>
      </c>
      <c r="H229" s="44" t="n"/>
    </row>
    <row r="230">
      <c r="A230" s="43" t="n">
        <v>46282</v>
      </c>
      <c r="B230" s="44" t="inlineStr">
        <is>
          <t>Вечерняя</t>
        </is>
      </c>
      <c r="C230" s="44" t="inlineStr">
        <is>
          <t>Мехобработка</t>
        </is>
      </c>
      <c r="D230" s="44" t="inlineStr">
        <is>
          <t>CNC-03</t>
        </is>
      </c>
      <c r="E230" s="44" t="inlineStr">
        <is>
          <t>Попов П.Л.</t>
        </is>
      </c>
      <c r="F230" s="45" t="n">
        <v>7.25</v>
      </c>
      <c r="G230" s="46" t="n">
        <v>45</v>
      </c>
      <c r="H230" s="44" t="inlineStr">
        <is>
          <t>Контроль качества</t>
        </is>
      </c>
    </row>
    <row r="231">
      <c r="A231" s="43" t="n">
        <v>46282</v>
      </c>
      <c r="B231" s="44" t="inlineStr">
        <is>
          <t>Вечерняя</t>
        </is>
      </c>
      <c r="C231" s="44" t="inlineStr">
        <is>
          <t>Сварка</t>
        </is>
      </c>
      <c r="D231" s="44" t="inlineStr">
        <is>
          <t>WLD-01</t>
        </is>
      </c>
      <c r="E231" s="44" t="inlineStr">
        <is>
          <t>Соколов К.А.</t>
        </is>
      </c>
      <c r="F231" s="45" t="n">
        <v>7.58</v>
      </c>
      <c r="G231" s="46" t="n">
        <v>25</v>
      </c>
      <c r="H231" s="44" t="inlineStr">
        <is>
          <t>Контроль качества</t>
        </is>
      </c>
    </row>
    <row r="232">
      <c r="A232" s="43" t="n">
        <v>46282</v>
      </c>
      <c r="B232" s="44" t="inlineStr">
        <is>
          <t>Вечерняя</t>
        </is>
      </c>
      <c r="C232" s="44" t="inlineStr">
        <is>
          <t>Сварка</t>
        </is>
      </c>
      <c r="D232" s="44" t="inlineStr">
        <is>
          <t>WLD-02</t>
        </is>
      </c>
      <c r="E232" s="44" t="inlineStr">
        <is>
          <t>Попов В.Р.</t>
        </is>
      </c>
      <c r="F232" s="45" t="n">
        <v>7.75</v>
      </c>
      <c r="G232" s="46" t="n">
        <v>15</v>
      </c>
      <c r="H232" s="44" t="inlineStr">
        <is>
          <t>Замена инструмента</t>
        </is>
      </c>
    </row>
    <row r="233">
      <c r="A233" s="43" t="n">
        <v>46282</v>
      </c>
      <c r="B233" s="44" t="inlineStr">
        <is>
          <t>Дневная</t>
        </is>
      </c>
      <c r="C233" s="44" t="inlineStr">
        <is>
          <t>Сборка</t>
        </is>
      </c>
      <c r="D233" s="44" t="inlineStr">
        <is>
          <t>ASM-01</t>
        </is>
      </c>
      <c r="E233" s="44" t="inlineStr">
        <is>
          <t>Волков О.Л.</t>
        </is>
      </c>
      <c r="F233" s="45" t="n">
        <v>8</v>
      </c>
      <c r="G233" s="46" t="n">
        <v>0</v>
      </c>
      <c r="H233" s="44" t="n"/>
    </row>
    <row r="234">
      <c r="A234" s="43" t="n">
        <v>46282</v>
      </c>
      <c r="B234" s="44" t="inlineStr">
        <is>
          <t>Дневная</t>
        </is>
      </c>
      <c r="C234" s="44" t="inlineStr">
        <is>
          <t>Сборка</t>
        </is>
      </c>
      <c r="D234" s="44" t="inlineStr">
        <is>
          <t>ASM-02</t>
        </is>
      </c>
      <c r="E234" s="44" t="inlineStr">
        <is>
          <t>Попов А.Л.</t>
        </is>
      </c>
      <c r="F234" s="45" t="n">
        <v>7</v>
      </c>
      <c r="G234" s="46" t="n">
        <v>60</v>
      </c>
      <c r="H234" s="44" t="inlineStr">
        <is>
          <t>Контроль качества</t>
        </is>
      </c>
    </row>
    <row r="235">
      <c r="A235" s="43" t="n">
        <v>46282</v>
      </c>
      <c r="B235" s="44" t="inlineStr">
        <is>
          <t>Дневная</t>
        </is>
      </c>
      <c r="C235" s="44" t="inlineStr">
        <is>
          <t>Мехобработка</t>
        </is>
      </c>
      <c r="D235" s="44" t="inlineStr">
        <is>
          <t>CNC-01</t>
        </is>
      </c>
      <c r="E235" s="44" t="inlineStr">
        <is>
          <t>Михайлов К.Д.</t>
        </is>
      </c>
      <c r="F235" s="45" t="n">
        <v>6.67</v>
      </c>
      <c r="G235" s="46" t="n">
        <v>80</v>
      </c>
      <c r="H235" s="44" t="inlineStr">
        <is>
          <t>Переналадка</t>
        </is>
      </c>
    </row>
    <row r="236">
      <c r="A236" s="43" t="n">
        <v>46282</v>
      </c>
      <c r="B236" s="44" t="inlineStr">
        <is>
          <t>Дневная</t>
        </is>
      </c>
      <c r="C236" s="44" t="inlineStr">
        <is>
          <t>Мехобработка</t>
        </is>
      </c>
      <c r="D236" s="44" t="inlineStr">
        <is>
          <t>CNC-02</t>
        </is>
      </c>
      <c r="E236" s="44" t="inlineStr">
        <is>
          <t>Морозов Л.Д.</t>
        </is>
      </c>
      <c r="F236" s="45" t="n">
        <v>6.25</v>
      </c>
      <c r="G236" s="46" t="n">
        <v>105</v>
      </c>
      <c r="H236" s="44" t="inlineStr">
        <is>
          <t>Поломка</t>
        </is>
      </c>
    </row>
    <row r="237">
      <c r="A237" s="43" t="n">
        <v>46282</v>
      </c>
      <c r="B237" s="44" t="inlineStr">
        <is>
          <t>Дневная</t>
        </is>
      </c>
      <c r="C237" s="44" t="inlineStr">
        <is>
          <t>Мехобработка</t>
        </is>
      </c>
      <c r="D237" s="44" t="inlineStr">
        <is>
          <t>CNC-03</t>
        </is>
      </c>
      <c r="E237" s="44" t="inlineStr">
        <is>
          <t>Николаев О.И.</t>
        </is>
      </c>
      <c r="F237" s="45" t="n">
        <v>8</v>
      </c>
      <c r="G237" s="46" t="n">
        <v>0</v>
      </c>
      <c r="H237" s="44" t="n"/>
    </row>
    <row r="238">
      <c r="A238" s="43" t="n">
        <v>46282</v>
      </c>
      <c r="B238" s="44" t="inlineStr">
        <is>
          <t>Дневная</t>
        </is>
      </c>
      <c r="C238" s="44" t="inlineStr">
        <is>
          <t>Покраска</t>
        </is>
      </c>
      <c r="D238" s="44" t="inlineStr">
        <is>
          <t>PNT-01</t>
        </is>
      </c>
      <c r="E238" s="44" t="inlineStr">
        <is>
          <t>Смирнов С.Г.</t>
        </is>
      </c>
      <c r="F238" s="45" t="n">
        <v>7.42</v>
      </c>
      <c r="G238" s="46" t="n">
        <v>35</v>
      </c>
      <c r="H238" s="44" t="inlineStr">
        <is>
          <t>Переналадка</t>
        </is>
      </c>
    </row>
    <row r="239">
      <c r="A239" s="43" t="n">
        <v>46282</v>
      </c>
      <c r="B239" s="44" t="inlineStr">
        <is>
          <t>Дневная</t>
        </is>
      </c>
      <c r="C239" s="44" t="inlineStr">
        <is>
          <t>Сварка</t>
        </is>
      </c>
      <c r="D239" s="44" t="inlineStr">
        <is>
          <t>WLD-01</t>
        </is>
      </c>
      <c r="E239" s="44" t="inlineStr">
        <is>
          <t>Фёдоров В.К.</t>
        </is>
      </c>
      <c r="F239" s="45" t="n">
        <v>6.92</v>
      </c>
      <c r="G239" s="46" t="n">
        <v>65</v>
      </c>
      <c r="H239" s="44" t="inlineStr">
        <is>
          <t>Нет материала</t>
        </is>
      </c>
    </row>
    <row r="240">
      <c r="A240" s="43" t="n">
        <v>46282</v>
      </c>
      <c r="B240" s="44" t="inlineStr">
        <is>
          <t>Дневная</t>
        </is>
      </c>
      <c r="C240" s="44" t="inlineStr">
        <is>
          <t>Сварка</t>
        </is>
      </c>
      <c r="D240" s="44" t="inlineStr">
        <is>
          <t>WLD-02</t>
        </is>
      </c>
      <c r="E240" s="44" t="inlineStr">
        <is>
          <t>Кузнецов П.Г.</t>
        </is>
      </c>
      <c r="F240" s="45" t="n">
        <v>8</v>
      </c>
      <c r="G240" s="46" t="n">
        <v>0</v>
      </c>
      <c r="H240" s="44" t="n"/>
    </row>
    <row r="241">
      <c r="A241" s="43" t="n">
        <v>46282</v>
      </c>
      <c r="B241" s="44" t="inlineStr">
        <is>
          <t>Ночная</t>
        </is>
      </c>
      <c r="C241" s="44" t="inlineStr">
        <is>
          <t>Мехобработка</t>
        </is>
      </c>
      <c r="D241" s="44" t="inlineStr">
        <is>
          <t>CNC-01</t>
        </is>
      </c>
      <c r="E241" s="44" t="inlineStr">
        <is>
          <t>Соколов Н.Г.</t>
        </is>
      </c>
      <c r="F241" s="45" t="n">
        <v>4.75</v>
      </c>
      <c r="G241" s="46" t="n">
        <v>195</v>
      </c>
      <c r="H241" s="44" t="inlineStr">
        <is>
          <t>Поломка</t>
        </is>
      </c>
    </row>
    <row r="242">
      <c r="A242" s="43" t="n">
        <v>46282</v>
      </c>
      <c r="B242" s="44" t="inlineStr">
        <is>
          <t>Ночная</t>
        </is>
      </c>
      <c r="C242" s="44" t="inlineStr">
        <is>
          <t>Мехобработка</t>
        </is>
      </c>
      <c r="D242" s="44" t="inlineStr">
        <is>
          <t>CNC-02</t>
        </is>
      </c>
      <c r="E242" s="44" t="inlineStr">
        <is>
          <t>Михайлов С.Л.</t>
        </is>
      </c>
      <c r="F242" s="45" t="n">
        <v>2.75</v>
      </c>
      <c r="G242" s="46" t="n">
        <v>315</v>
      </c>
      <c r="H242" s="44" t="inlineStr">
        <is>
          <t>Поломка</t>
        </is>
      </c>
    </row>
    <row r="243">
      <c r="A243" s="43" t="n">
        <v>46282</v>
      </c>
      <c r="B243" s="44" t="inlineStr">
        <is>
          <t>Ночная</t>
        </is>
      </c>
      <c r="C243" s="44" t="inlineStr">
        <is>
          <t>Мехобработка</t>
        </is>
      </c>
      <c r="D243" s="44" t="inlineStr">
        <is>
          <t>CNC-03</t>
        </is>
      </c>
      <c r="E243" s="44" t="inlineStr">
        <is>
          <t>Иванов Е.Р.</t>
        </is>
      </c>
      <c r="F243" s="45" t="n">
        <v>6.33</v>
      </c>
      <c r="G243" s="46" t="n">
        <v>100</v>
      </c>
      <c r="H243" s="44" t="inlineStr">
        <is>
          <t>Переналадка</t>
        </is>
      </c>
    </row>
    <row r="244">
      <c r="A244" s="43" t="n">
        <v>46283</v>
      </c>
      <c r="B244" s="44" t="inlineStr">
        <is>
          <t>Вечерняя</t>
        </is>
      </c>
      <c r="C244" s="44" t="inlineStr">
        <is>
          <t>Сборка</t>
        </is>
      </c>
      <c r="D244" s="44" t="inlineStr">
        <is>
          <t>ASM-01</t>
        </is>
      </c>
      <c r="E244" s="44" t="inlineStr">
        <is>
          <t>Кузнецов Б.К.</t>
        </is>
      </c>
      <c r="F244" s="45" t="n">
        <v>8</v>
      </c>
      <c r="G244" s="46" t="n">
        <v>0</v>
      </c>
      <c r="H244" s="44" t="n"/>
    </row>
    <row r="245">
      <c r="A245" s="43" t="n">
        <v>46283</v>
      </c>
      <c r="B245" s="44" t="inlineStr">
        <is>
          <t>Вечерняя</t>
        </is>
      </c>
      <c r="C245" s="44" t="inlineStr">
        <is>
          <t>Сборка</t>
        </is>
      </c>
      <c r="D245" s="44" t="inlineStr">
        <is>
          <t>ASM-02</t>
        </is>
      </c>
      <c r="E245" s="44" t="inlineStr">
        <is>
          <t>Козлов И.Р.</t>
        </is>
      </c>
      <c r="F245" s="45" t="n">
        <v>8</v>
      </c>
      <c r="G245" s="46" t="n">
        <v>0</v>
      </c>
      <c r="H245" s="44" t="n"/>
    </row>
    <row r="246">
      <c r="A246" s="43" t="n">
        <v>46283</v>
      </c>
      <c r="B246" s="44" t="inlineStr">
        <is>
          <t>Вечерняя</t>
        </is>
      </c>
      <c r="C246" s="44" t="inlineStr">
        <is>
          <t>Мехобработка</t>
        </is>
      </c>
      <c r="D246" s="44" t="inlineStr">
        <is>
          <t>CNC-01</t>
        </is>
      </c>
      <c r="E246" s="44" t="inlineStr">
        <is>
          <t>Алексеев В.М.</t>
        </is>
      </c>
      <c r="F246" s="45" t="n">
        <v>6.42</v>
      </c>
      <c r="G246" s="46" t="n">
        <v>95</v>
      </c>
      <c r="H246" s="44" t="inlineStr">
        <is>
          <t>Нет материала</t>
        </is>
      </c>
    </row>
    <row r="247">
      <c r="A247" s="43" t="n">
        <v>46283</v>
      </c>
      <c r="B247" s="44" t="inlineStr">
        <is>
          <t>Вечерняя</t>
        </is>
      </c>
      <c r="C247" s="44" t="inlineStr">
        <is>
          <t>Мехобработка</t>
        </is>
      </c>
      <c r="D247" s="44" t="inlineStr">
        <is>
          <t>CNC-02</t>
        </is>
      </c>
      <c r="E247" s="44" t="inlineStr">
        <is>
          <t>Смирнов А.В.</t>
        </is>
      </c>
      <c r="F247" s="45" t="n">
        <v>7</v>
      </c>
      <c r="G247" s="46" t="n">
        <v>60</v>
      </c>
      <c r="H247" s="44" t="inlineStr">
        <is>
          <t>Переналадка</t>
        </is>
      </c>
    </row>
    <row r="248">
      <c r="A248" s="43" t="n">
        <v>46283</v>
      </c>
      <c r="B248" s="44" t="inlineStr">
        <is>
          <t>Вечерняя</t>
        </is>
      </c>
      <c r="C248" s="44" t="inlineStr">
        <is>
          <t>Мехобработка</t>
        </is>
      </c>
      <c r="D248" s="44" t="inlineStr">
        <is>
          <t>CNC-03</t>
        </is>
      </c>
      <c r="E248" s="44" t="inlineStr">
        <is>
          <t>Попов П.Л.</t>
        </is>
      </c>
      <c r="F248" s="45" t="n">
        <v>3.58</v>
      </c>
      <c r="G248" s="46" t="n">
        <v>265</v>
      </c>
      <c r="H248" s="44" t="inlineStr">
        <is>
          <t>Поломка</t>
        </is>
      </c>
    </row>
    <row r="249">
      <c r="A249" s="43" t="n">
        <v>46283</v>
      </c>
      <c r="B249" s="44" t="inlineStr">
        <is>
          <t>Вечерняя</t>
        </is>
      </c>
      <c r="C249" s="44" t="inlineStr">
        <is>
          <t>Сварка</t>
        </is>
      </c>
      <c r="D249" s="44" t="inlineStr">
        <is>
          <t>WLD-01</t>
        </is>
      </c>
      <c r="E249" s="44" t="inlineStr">
        <is>
          <t>Соколов К.А.</t>
        </is>
      </c>
      <c r="F249" s="45" t="n">
        <v>8</v>
      </c>
      <c r="G249" s="46" t="n">
        <v>0</v>
      </c>
      <c r="H249" s="44" t="n"/>
    </row>
    <row r="250">
      <c r="A250" s="43" t="n">
        <v>46283</v>
      </c>
      <c r="B250" s="44" t="inlineStr">
        <is>
          <t>Вечерняя</t>
        </is>
      </c>
      <c r="C250" s="44" t="inlineStr">
        <is>
          <t>Сварка</t>
        </is>
      </c>
      <c r="D250" s="44" t="inlineStr">
        <is>
          <t>WLD-02</t>
        </is>
      </c>
      <c r="E250" s="44" t="inlineStr">
        <is>
          <t>Попов В.Р.</t>
        </is>
      </c>
      <c r="F250" s="45" t="n">
        <v>7.67</v>
      </c>
      <c r="G250" s="46" t="n">
        <v>20</v>
      </c>
      <c r="H250" s="44" t="inlineStr">
        <is>
          <t>Контроль качества</t>
        </is>
      </c>
    </row>
    <row r="251">
      <c r="A251" s="43" t="n">
        <v>46283</v>
      </c>
      <c r="B251" s="44" t="inlineStr">
        <is>
          <t>Дневная</t>
        </is>
      </c>
      <c r="C251" s="44" t="inlineStr">
        <is>
          <t>Сборка</t>
        </is>
      </c>
      <c r="D251" s="44" t="inlineStr">
        <is>
          <t>ASM-01</t>
        </is>
      </c>
      <c r="E251" s="44" t="inlineStr">
        <is>
          <t>Волков О.Л.</t>
        </is>
      </c>
      <c r="F251" s="45" t="n">
        <v>7.33</v>
      </c>
      <c r="G251" s="46" t="n">
        <v>40</v>
      </c>
      <c r="H251" s="44" t="inlineStr">
        <is>
          <t>Замена инструмента</t>
        </is>
      </c>
    </row>
    <row r="252">
      <c r="A252" s="43" t="n">
        <v>46283</v>
      </c>
      <c r="B252" s="44" t="inlineStr">
        <is>
          <t>Дневная</t>
        </is>
      </c>
      <c r="C252" s="44" t="inlineStr">
        <is>
          <t>Сборка</t>
        </is>
      </c>
      <c r="D252" s="44" t="inlineStr">
        <is>
          <t>ASM-02</t>
        </is>
      </c>
      <c r="E252" s="44" t="inlineStr">
        <is>
          <t>Попов А.Л.</t>
        </is>
      </c>
      <c r="F252" s="45" t="n">
        <v>8</v>
      </c>
      <c r="G252" s="46" t="n">
        <v>0</v>
      </c>
      <c r="H252" s="44" t="n"/>
    </row>
    <row r="253">
      <c r="A253" s="43" t="n">
        <v>46283</v>
      </c>
      <c r="B253" s="44" t="inlineStr">
        <is>
          <t>Дневная</t>
        </is>
      </c>
      <c r="C253" s="44" t="inlineStr">
        <is>
          <t>Мехобработка</t>
        </is>
      </c>
      <c r="D253" s="44" t="inlineStr">
        <is>
          <t>CNC-01</t>
        </is>
      </c>
      <c r="E253" s="44" t="inlineStr">
        <is>
          <t>Михайлов К.Д.</t>
        </is>
      </c>
      <c r="F253" s="45" t="n">
        <v>8</v>
      </c>
      <c r="G253" s="46" t="n">
        <v>0</v>
      </c>
      <c r="H253" s="44" t="n"/>
    </row>
    <row r="254">
      <c r="A254" s="43" t="n">
        <v>46283</v>
      </c>
      <c r="B254" s="44" t="inlineStr">
        <is>
          <t>Дневная</t>
        </is>
      </c>
      <c r="C254" s="44" t="inlineStr">
        <is>
          <t>Мехобработка</t>
        </is>
      </c>
      <c r="D254" s="44" t="inlineStr">
        <is>
          <t>CNC-02</t>
        </is>
      </c>
      <c r="E254" s="44" t="inlineStr">
        <is>
          <t>Морозов Л.Д.</t>
        </is>
      </c>
      <c r="F254" s="45" t="n">
        <v>7.67</v>
      </c>
      <c r="G254" s="46" t="n">
        <v>20</v>
      </c>
      <c r="H254" s="44" t="inlineStr">
        <is>
          <t>Замена инструмента</t>
        </is>
      </c>
    </row>
    <row r="255">
      <c r="A255" s="43" t="n">
        <v>46283</v>
      </c>
      <c r="B255" s="44" t="inlineStr">
        <is>
          <t>Дневная</t>
        </is>
      </c>
      <c r="C255" s="44" t="inlineStr">
        <is>
          <t>Мехобработка</t>
        </is>
      </c>
      <c r="D255" s="44" t="inlineStr">
        <is>
          <t>CNC-03</t>
        </is>
      </c>
      <c r="E255" s="44" t="inlineStr">
        <is>
          <t>Николаев О.И.</t>
        </is>
      </c>
      <c r="F255" s="45" t="n">
        <v>8</v>
      </c>
      <c r="G255" s="46" t="n">
        <v>0</v>
      </c>
      <c r="H255" s="44" t="n"/>
    </row>
    <row r="256">
      <c r="A256" s="43" t="n">
        <v>46283</v>
      </c>
      <c r="B256" s="44" t="inlineStr">
        <is>
          <t>Дневная</t>
        </is>
      </c>
      <c r="C256" s="44" t="inlineStr">
        <is>
          <t>Покраска</t>
        </is>
      </c>
      <c r="D256" s="44" t="inlineStr">
        <is>
          <t>PNT-01</t>
        </is>
      </c>
      <c r="E256" s="44" t="inlineStr">
        <is>
          <t>Смирнов С.Г.</t>
        </is>
      </c>
      <c r="F256" s="45" t="n">
        <v>5.67</v>
      </c>
      <c r="G256" s="46" t="n">
        <v>140</v>
      </c>
      <c r="H256" s="44" t="inlineStr">
        <is>
          <t>Плановое ТО</t>
        </is>
      </c>
    </row>
    <row r="257">
      <c r="A257" s="43" t="n">
        <v>46283</v>
      </c>
      <c r="B257" s="44" t="inlineStr">
        <is>
          <t>Дневная</t>
        </is>
      </c>
      <c r="C257" s="44" t="inlineStr">
        <is>
          <t>Сварка</t>
        </is>
      </c>
      <c r="D257" s="44" t="inlineStr">
        <is>
          <t>WLD-01</t>
        </is>
      </c>
      <c r="E257" s="44" t="inlineStr">
        <is>
          <t>Фёдоров В.К.</t>
        </is>
      </c>
      <c r="F257" s="45" t="n">
        <v>8</v>
      </c>
      <c r="G257" s="46" t="n">
        <v>0</v>
      </c>
      <c r="H257" s="44" t="n"/>
    </row>
    <row r="258">
      <c r="A258" s="43" t="n">
        <v>46283</v>
      </c>
      <c r="B258" s="44" t="inlineStr">
        <is>
          <t>Дневная</t>
        </is>
      </c>
      <c r="C258" s="44" t="inlineStr">
        <is>
          <t>Сварка</t>
        </is>
      </c>
      <c r="D258" s="44" t="inlineStr">
        <is>
          <t>WLD-02</t>
        </is>
      </c>
      <c r="E258" s="44" t="inlineStr">
        <is>
          <t>Кузнецов П.Г.</t>
        </is>
      </c>
      <c r="F258" s="45" t="n">
        <v>3.33</v>
      </c>
      <c r="G258" s="46" t="n">
        <v>280</v>
      </c>
      <c r="H258" s="44" t="inlineStr">
        <is>
          <t>Поломка</t>
        </is>
      </c>
    </row>
    <row r="259">
      <c r="A259" s="43" t="n">
        <v>46283</v>
      </c>
      <c r="B259" s="44" t="inlineStr">
        <is>
          <t>Ночная</t>
        </is>
      </c>
      <c r="C259" s="44" t="inlineStr">
        <is>
          <t>Мехобработка</t>
        </is>
      </c>
      <c r="D259" s="44" t="inlineStr">
        <is>
          <t>CNC-01</t>
        </is>
      </c>
      <c r="E259" s="44" t="inlineStr">
        <is>
          <t>Соколов Н.Г.</t>
        </is>
      </c>
      <c r="F259" s="45" t="n">
        <v>8</v>
      </c>
      <c r="G259" s="46" t="n">
        <v>0</v>
      </c>
      <c r="H259" s="44" t="n"/>
    </row>
    <row r="260">
      <c r="A260" s="43" t="n">
        <v>46283</v>
      </c>
      <c r="B260" s="44" t="inlineStr">
        <is>
          <t>Ночная</t>
        </is>
      </c>
      <c r="C260" s="44" t="inlineStr">
        <is>
          <t>Мехобработка</t>
        </is>
      </c>
      <c r="D260" s="44" t="inlineStr">
        <is>
          <t>CNC-02</t>
        </is>
      </c>
      <c r="E260" s="44" t="inlineStr">
        <is>
          <t>Михайлов С.Л.</t>
        </is>
      </c>
      <c r="F260" s="45" t="n">
        <v>8</v>
      </c>
      <c r="G260" s="46" t="n">
        <v>0</v>
      </c>
      <c r="H260" s="44" t="n"/>
    </row>
    <row r="261">
      <c r="A261" s="43" t="n">
        <v>46283</v>
      </c>
      <c r="B261" s="44" t="inlineStr">
        <is>
          <t>Ночная</t>
        </is>
      </c>
      <c r="C261" s="44" t="inlineStr">
        <is>
          <t>Мехобработка</t>
        </is>
      </c>
      <c r="D261" s="44" t="inlineStr">
        <is>
          <t>CNC-03</t>
        </is>
      </c>
      <c r="E261" s="44" t="inlineStr">
        <is>
          <t>Иванов Е.Р.</t>
        </is>
      </c>
      <c r="F261" s="45" t="n">
        <v>4.5</v>
      </c>
      <c r="G261" s="46" t="n">
        <v>210</v>
      </c>
      <c r="H261" s="44" t="inlineStr">
        <is>
          <t>Поломка</t>
        </is>
      </c>
    </row>
    <row r="262">
      <c r="A262" s="43" t="n">
        <v>46284</v>
      </c>
      <c r="B262" s="44" t="inlineStr">
        <is>
          <t>Дневная</t>
        </is>
      </c>
      <c r="C262" s="44" t="inlineStr">
        <is>
          <t>Сборка</t>
        </is>
      </c>
      <c r="D262" s="44" t="inlineStr">
        <is>
          <t>ASM-01</t>
        </is>
      </c>
      <c r="E262" s="44" t="inlineStr">
        <is>
          <t>Волков О.Л.</t>
        </is>
      </c>
      <c r="F262" s="45" t="n">
        <v>8</v>
      </c>
      <c r="G262" s="46" t="n">
        <v>0</v>
      </c>
      <c r="H262" s="44" t="n"/>
    </row>
    <row r="263">
      <c r="A263" s="43" t="n">
        <v>46284</v>
      </c>
      <c r="B263" s="44" t="inlineStr">
        <is>
          <t>Дневная</t>
        </is>
      </c>
      <c r="C263" s="44" t="inlineStr">
        <is>
          <t>Сборка</t>
        </is>
      </c>
      <c r="D263" s="44" t="inlineStr">
        <is>
          <t>ASM-02</t>
        </is>
      </c>
      <c r="E263" s="44" t="inlineStr">
        <is>
          <t>Попов А.Л.</t>
        </is>
      </c>
      <c r="F263" s="45" t="n">
        <v>8</v>
      </c>
      <c r="G263" s="46" t="n">
        <v>0</v>
      </c>
      <c r="H263" s="44" t="n"/>
    </row>
    <row r="264">
      <c r="A264" s="43" t="n">
        <v>46284</v>
      </c>
      <c r="B264" s="44" t="inlineStr">
        <is>
          <t>Дневная</t>
        </is>
      </c>
      <c r="C264" s="44" t="inlineStr">
        <is>
          <t>Мехобработка</t>
        </is>
      </c>
      <c r="D264" s="44" t="inlineStr">
        <is>
          <t>CNC-01</t>
        </is>
      </c>
      <c r="E264" s="44" t="inlineStr">
        <is>
          <t>Михайлов К.Д.</t>
        </is>
      </c>
      <c r="F264" s="45" t="n">
        <v>8</v>
      </c>
      <c r="G264" s="46" t="n">
        <v>0</v>
      </c>
      <c r="H264" s="44" t="n"/>
    </row>
    <row r="265">
      <c r="A265" s="43" t="n">
        <v>46284</v>
      </c>
      <c r="B265" s="44" t="inlineStr">
        <is>
          <t>Дневная</t>
        </is>
      </c>
      <c r="C265" s="44" t="inlineStr">
        <is>
          <t>Мехобработка</t>
        </is>
      </c>
      <c r="D265" s="44" t="inlineStr">
        <is>
          <t>CNC-02</t>
        </is>
      </c>
      <c r="E265" s="44" t="inlineStr">
        <is>
          <t>Морозов Л.Д.</t>
        </is>
      </c>
      <c r="F265" s="45" t="n">
        <v>3</v>
      </c>
      <c r="G265" s="46" t="n">
        <v>300</v>
      </c>
      <c r="H265" s="44" t="inlineStr">
        <is>
          <t>Поломка</t>
        </is>
      </c>
    </row>
    <row r="266">
      <c r="A266" s="43" t="n">
        <v>46284</v>
      </c>
      <c r="B266" s="44" t="inlineStr">
        <is>
          <t>Дневная</t>
        </is>
      </c>
      <c r="C266" s="44" t="inlineStr">
        <is>
          <t>Мехобработка</t>
        </is>
      </c>
      <c r="D266" s="44" t="inlineStr">
        <is>
          <t>CNC-03</t>
        </is>
      </c>
      <c r="E266" s="44" t="inlineStr">
        <is>
          <t>Николаев О.И.</t>
        </is>
      </c>
      <c r="F266" s="45" t="n">
        <v>6.42</v>
      </c>
      <c r="G266" s="46" t="n">
        <v>95</v>
      </c>
      <c r="H266" s="44" t="inlineStr">
        <is>
          <t>Переналадка</t>
        </is>
      </c>
    </row>
    <row r="267">
      <c r="A267" s="43" t="n">
        <v>46284</v>
      </c>
      <c r="B267" s="44" t="inlineStr">
        <is>
          <t>Дневная</t>
        </is>
      </c>
      <c r="C267" s="44" t="inlineStr">
        <is>
          <t>Покраска</t>
        </is>
      </c>
      <c r="D267" s="44" t="inlineStr">
        <is>
          <t>PNT-01</t>
        </is>
      </c>
      <c r="E267" s="44" t="inlineStr">
        <is>
          <t>Смирнов С.Г.</t>
        </is>
      </c>
      <c r="F267" s="45" t="n">
        <v>7.17</v>
      </c>
      <c r="G267" s="46" t="n">
        <v>50</v>
      </c>
      <c r="H267" s="44" t="inlineStr">
        <is>
          <t>Контроль качества</t>
        </is>
      </c>
    </row>
    <row r="268">
      <c r="A268" s="43" t="n">
        <v>46284</v>
      </c>
      <c r="B268" s="44" t="inlineStr">
        <is>
          <t>Дневная</t>
        </is>
      </c>
      <c r="C268" s="44" t="inlineStr">
        <is>
          <t>Сварка</t>
        </is>
      </c>
      <c r="D268" s="44" t="inlineStr">
        <is>
          <t>WLD-01</t>
        </is>
      </c>
      <c r="E268" s="44" t="inlineStr">
        <is>
          <t>Фёдоров В.К.</t>
        </is>
      </c>
      <c r="F268" s="45" t="n">
        <v>8</v>
      </c>
      <c r="G268" s="46" t="n">
        <v>0</v>
      </c>
      <c r="H268" s="44" t="n"/>
    </row>
    <row r="269">
      <c r="A269" s="43" t="n">
        <v>46284</v>
      </c>
      <c r="B269" s="44" t="inlineStr">
        <is>
          <t>Дневная</t>
        </is>
      </c>
      <c r="C269" s="44" t="inlineStr">
        <is>
          <t>Сварка</t>
        </is>
      </c>
      <c r="D269" s="44" t="inlineStr">
        <is>
          <t>WLD-02</t>
        </is>
      </c>
      <c r="E269" s="44" t="inlineStr">
        <is>
          <t>Кузнецов П.Г.</t>
        </is>
      </c>
      <c r="F269" s="45" t="n">
        <v>7.75</v>
      </c>
      <c r="G269" s="46" t="n">
        <v>15</v>
      </c>
      <c r="H269" s="44" t="inlineStr">
        <is>
          <t>Контроль качества</t>
        </is>
      </c>
    </row>
    <row r="270">
      <c r="A270" s="43" t="n">
        <v>46286</v>
      </c>
      <c r="B270" s="44" t="inlineStr">
        <is>
          <t>Вечерняя</t>
        </is>
      </c>
      <c r="C270" s="44" t="inlineStr">
        <is>
          <t>Сборка</t>
        </is>
      </c>
      <c r="D270" s="44" t="inlineStr">
        <is>
          <t>ASM-01</t>
        </is>
      </c>
      <c r="E270" s="44" t="inlineStr">
        <is>
          <t>Кузнецов Б.К.</t>
        </is>
      </c>
      <c r="F270" s="45" t="n">
        <v>8</v>
      </c>
      <c r="G270" s="46" t="n">
        <v>0</v>
      </c>
      <c r="H270" s="44" t="n"/>
    </row>
    <row r="271">
      <c r="A271" s="43" t="n">
        <v>46286</v>
      </c>
      <c r="B271" s="44" t="inlineStr">
        <is>
          <t>Вечерняя</t>
        </is>
      </c>
      <c r="C271" s="44" t="inlineStr">
        <is>
          <t>Сборка</t>
        </is>
      </c>
      <c r="D271" s="44" t="inlineStr">
        <is>
          <t>ASM-02</t>
        </is>
      </c>
      <c r="E271" s="44" t="inlineStr">
        <is>
          <t>Козлов И.Р.</t>
        </is>
      </c>
      <c r="F271" s="45" t="n">
        <v>5.25</v>
      </c>
      <c r="G271" s="46" t="n">
        <v>165</v>
      </c>
      <c r="H271" s="44" t="inlineStr">
        <is>
          <t>Плановое ТО</t>
        </is>
      </c>
    </row>
    <row r="272">
      <c r="A272" s="43" t="n">
        <v>46286</v>
      </c>
      <c r="B272" s="44" t="inlineStr">
        <is>
          <t>Вечерняя</t>
        </is>
      </c>
      <c r="C272" s="44" t="inlineStr">
        <is>
          <t>Мехобработка</t>
        </is>
      </c>
      <c r="D272" s="44" t="inlineStr">
        <is>
          <t>CNC-01</t>
        </is>
      </c>
      <c r="E272" s="44" t="inlineStr">
        <is>
          <t>Алексеев В.М.</t>
        </is>
      </c>
      <c r="F272" s="45" t="n">
        <v>7.33</v>
      </c>
      <c r="G272" s="46" t="n">
        <v>40</v>
      </c>
      <c r="H272" s="44" t="inlineStr">
        <is>
          <t>Переналадка</t>
        </is>
      </c>
    </row>
    <row r="273">
      <c r="A273" s="43" t="n">
        <v>46286</v>
      </c>
      <c r="B273" s="44" t="inlineStr">
        <is>
          <t>Вечерняя</t>
        </is>
      </c>
      <c r="C273" s="44" t="inlineStr">
        <is>
          <t>Мехобработка</t>
        </is>
      </c>
      <c r="D273" s="44" t="inlineStr">
        <is>
          <t>CNC-02</t>
        </is>
      </c>
      <c r="E273" s="44" t="inlineStr">
        <is>
          <t>Смирнов А.В.</t>
        </is>
      </c>
      <c r="F273" s="45" t="n">
        <v>6.08</v>
      </c>
      <c r="G273" s="46" t="n">
        <v>115</v>
      </c>
      <c r="H273" s="44" t="inlineStr">
        <is>
          <t>Плановое ТО</t>
        </is>
      </c>
    </row>
    <row r="274">
      <c r="A274" s="43" t="n">
        <v>46286</v>
      </c>
      <c r="B274" s="44" t="inlineStr">
        <is>
          <t>Вечерняя</t>
        </is>
      </c>
      <c r="C274" s="44" t="inlineStr">
        <is>
          <t>Мехобработка</t>
        </is>
      </c>
      <c r="D274" s="44" t="inlineStr">
        <is>
          <t>CNC-03</t>
        </is>
      </c>
      <c r="E274" s="44" t="inlineStr">
        <is>
          <t>Попов П.Л.</t>
        </is>
      </c>
      <c r="F274" s="45" t="n">
        <v>8</v>
      </c>
      <c r="G274" s="46" t="n">
        <v>0</v>
      </c>
      <c r="H274" s="44" t="n"/>
    </row>
    <row r="275">
      <c r="A275" s="43" t="n">
        <v>46286</v>
      </c>
      <c r="B275" s="44" t="inlineStr">
        <is>
          <t>Вечерняя</t>
        </is>
      </c>
      <c r="C275" s="44" t="inlineStr">
        <is>
          <t>Сварка</t>
        </is>
      </c>
      <c r="D275" s="44" t="inlineStr">
        <is>
          <t>WLD-01</t>
        </is>
      </c>
      <c r="E275" s="44" t="inlineStr">
        <is>
          <t>Соколов К.А.</t>
        </is>
      </c>
      <c r="F275" s="45" t="n">
        <v>8</v>
      </c>
      <c r="G275" s="46" t="n">
        <v>0</v>
      </c>
      <c r="H275" s="44" t="n"/>
    </row>
    <row r="276">
      <c r="A276" s="43" t="n">
        <v>46286</v>
      </c>
      <c r="B276" s="44" t="inlineStr">
        <is>
          <t>Вечерняя</t>
        </is>
      </c>
      <c r="C276" s="44" t="inlineStr">
        <is>
          <t>Сварка</t>
        </is>
      </c>
      <c r="D276" s="44" t="inlineStr">
        <is>
          <t>WLD-02</t>
        </is>
      </c>
      <c r="E276" s="44" t="inlineStr">
        <is>
          <t>Попов В.Р.</t>
        </is>
      </c>
      <c r="F276" s="45" t="n">
        <v>7.33</v>
      </c>
      <c r="G276" s="46" t="n">
        <v>40</v>
      </c>
      <c r="H276" s="44" t="inlineStr">
        <is>
          <t>Контроль качества</t>
        </is>
      </c>
    </row>
    <row r="277">
      <c r="A277" s="43" t="n">
        <v>46286</v>
      </c>
      <c r="B277" s="44" t="inlineStr">
        <is>
          <t>Дневная</t>
        </is>
      </c>
      <c r="C277" s="44" t="inlineStr">
        <is>
          <t>Сборка</t>
        </is>
      </c>
      <c r="D277" s="44" t="inlineStr">
        <is>
          <t>ASM-01</t>
        </is>
      </c>
      <c r="E277" s="44" t="inlineStr">
        <is>
          <t>Волков О.Л.</t>
        </is>
      </c>
      <c r="F277" s="45" t="n">
        <v>6.58</v>
      </c>
      <c r="G277" s="46" t="n">
        <v>85</v>
      </c>
      <c r="H277" s="44" t="inlineStr">
        <is>
          <t>Переналадка</t>
        </is>
      </c>
    </row>
    <row r="278">
      <c r="A278" s="43" t="n">
        <v>46286</v>
      </c>
      <c r="B278" s="44" t="inlineStr">
        <is>
          <t>Дневная</t>
        </is>
      </c>
      <c r="C278" s="44" t="inlineStr">
        <is>
          <t>Мехобработка</t>
        </is>
      </c>
      <c r="D278" s="44" t="inlineStr">
        <is>
          <t>CNC-01</t>
        </is>
      </c>
      <c r="E278" s="44" t="inlineStr">
        <is>
          <t>Михайлов К.Д.</t>
        </is>
      </c>
      <c r="F278" s="45" t="n">
        <v>8</v>
      </c>
      <c r="G278" s="46" t="n">
        <v>0</v>
      </c>
      <c r="H278" s="44" t="n"/>
    </row>
    <row r="279">
      <c r="A279" s="43" t="n">
        <v>46286</v>
      </c>
      <c r="B279" s="44" t="inlineStr">
        <is>
          <t>Дневная</t>
        </is>
      </c>
      <c r="C279" s="44" t="inlineStr">
        <is>
          <t>Мехобработка</t>
        </is>
      </c>
      <c r="D279" s="44" t="inlineStr">
        <is>
          <t>CNC-02</t>
        </is>
      </c>
      <c r="E279" s="44" t="inlineStr">
        <is>
          <t>Морозов Л.Д.</t>
        </is>
      </c>
      <c r="F279" s="45" t="n">
        <v>7.67</v>
      </c>
      <c r="G279" s="46" t="n">
        <v>20</v>
      </c>
      <c r="H279" s="44" t="inlineStr">
        <is>
          <t>Замена инструмента</t>
        </is>
      </c>
    </row>
    <row r="280">
      <c r="A280" s="43" t="n">
        <v>46286</v>
      </c>
      <c r="B280" s="44" t="inlineStr">
        <is>
          <t>Дневная</t>
        </is>
      </c>
      <c r="C280" s="44" t="inlineStr">
        <is>
          <t>Мехобработка</t>
        </is>
      </c>
      <c r="D280" s="44" t="inlineStr">
        <is>
          <t>CNC-03</t>
        </is>
      </c>
      <c r="E280" s="44" t="inlineStr">
        <is>
          <t>Николаев О.И.</t>
        </is>
      </c>
      <c r="F280" s="45" t="n">
        <v>8</v>
      </c>
      <c r="G280" s="46" t="n">
        <v>0</v>
      </c>
      <c r="H280" s="44" t="n"/>
    </row>
    <row r="281">
      <c r="A281" s="43" t="n">
        <v>46286</v>
      </c>
      <c r="B281" s="44" t="inlineStr">
        <is>
          <t>Дневная</t>
        </is>
      </c>
      <c r="C281" s="44" t="inlineStr">
        <is>
          <t>Покраска</t>
        </is>
      </c>
      <c r="D281" s="44" t="inlineStr">
        <is>
          <t>PNT-01</t>
        </is>
      </c>
      <c r="E281" s="44" t="inlineStr">
        <is>
          <t>Смирнов С.Г.</t>
        </is>
      </c>
      <c r="F281" s="45" t="n">
        <v>7.5</v>
      </c>
      <c r="G281" s="46" t="n">
        <v>30</v>
      </c>
      <c r="H281" s="44" t="inlineStr">
        <is>
          <t>Контроль качества</t>
        </is>
      </c>
    </row>
    <row r="282">
      <c r="A282" s="43" t="n">
        <v>46286</v>
      </c>
      <c r="B282" s="44" t="inlineStr">
        <is>
          <t>Дневная</t>
        </is>
      </c>
      <c r="C282" s="44" t="inlineStr">
        <is>
          <t>Сварка</t>
        </is>
      </c>
      <c r="D282" s="44" t="inlineStr">
        <is>
          <t>WLD-01</t>
        </is>
      </c>
      <c r="E282" s="44" t="inlineStr">
        <is>
          <t>Фёдоров В.К.</t>
        </is>
      </c>
      <c r="F282" s="45" t="n">
        <v>8</v>
      </c>
      <c r="G282" s="46" t="n">
        <v>0</v>
      </c>
      <c r="H282" s="44" t="n"/>
    </row>
    <row r="283">
      <c r="A283" s="43" t="n">
        <v>46286</v>
      </c>
      <c r="B283" s="44" t="inlineStr">
        <is>
          <t>Дневная</t>
        </is>
      </c>
      <c r="C283" s="44" t="inlineStr">
        <is>
          <t>Сварка</t>
        </is>
      </c>
      <c r="D283" s="44" t="inlineStr">
        <is>
          <t>WLD-02</t>
        </is>
      </c>
      <c r="E283" s="44" t="inlineStr">
        <is>
          <t>Кузнецов П.Г.</t>
        </is>
      </c>
      <c r="F283" s="45" t="n">
        <v>7.42</v>
      </c>
      <c r="G283" s="46" t="n">
        <v>35</v>
      </c>
      <c r="H283" s="44" t="inlineStr">
        <is>
          <t>Переналадка</t>
        </is>
      </c>
    </row>
    <row r="284">
      <c r="A284" s="43" t="n">
        <v>46286</v>
      </c>
      <c r="B284" s="44" t="inlineStr">
        <is>
          <t>Ночная</t>
        </is>
      </c>
      <c r="C284" s="44" t="inlineStr">
        <is>
          <t>Мехобработка</t>
        </is>
      </c>
      <c r="D284" s="44" t="inlineStr">
        <is>
          <t>CNC-01</t>
        </is>
      </c>
      <c r="E284" s="44" t="inlineStr">
        <is>
          <t>Соколов Н.Г.</t>
        </is>
      </c>
      <c r="F284" s="45" t="n">
        <v>7.58</v>
      </c>
      <c r="G284" s="46" t="n">
        <v>25</v>
      </c>
      <c r="H284" s="44" t="inlineStr">
        <is>
          <t>Не указана</t>
        </is>
      </c>
    </row>
    <row r="285">
      <c r="A285" s="43" t="n">
        <v>46286</v>
      </c>
      <c r="B285" s="44" t="inlineStr">
        <is>
          <t>Ночная</t>
        </is>
      </c>
      <c r="C285" s="44" t="inlineStr">
        <is>
          <t>Мехобработка</t>
        </is>
      </c>
      <c r="D285" s="44" t="inlineStr">
        <is>
          <t>CNC-02</t>
        </is>
      </c>
      <c r="E285" s="44" t="inlineStr">
        <is>
          <t>Михайлов С.Л.</t>
        </is>
      </c>
      <c r="F285" s="45" t="n">
        <v>7.67</v>
      </c>
      <c r="G285" s="46" t="n">
        <v>20</v>
      </c>
      <c r="H285" s="44" t="inlineStr">
        <is>
          <t>Замена инструмента</t>
        </is>
      </c>
    </row>
    <row r="286">
      <c r="A286" s="43" t="n">
        <v>46286</v>
      </c>
      <c r="B286" s="44" t="inlineStr">
        <is>
          <t>Ночная</t>
        </is>
      </c>
      <c r="C286" s="44" t="inlineStr">
        <is>
          <t>Мехобработка</t>
        </is>
      </c>
      <c r="D286" s="44" t="inlineStr">
        <is>
          <t>CNC-03</t>
        </is>
      </c>
      <c r="E286" s="44" t="inlineStr">
        <is>
          <t>Иванов Е.Р.</t>
        </is>
      </c>
      <c r="F286" s="45" t="n">
        <v>8</v>
      </c>
      <c r="G286" s="46" t="n">
        <v>0</v>
      </c>
      <c r="H286" s="44" t="n"/>
    </row>
    <row r="287">
      <c r="A287" s="43" t="n">
        <v>46287</v>
      </c>
      <c r="B287" s="44" t="inlineStr">
        <is>
          <t>Вечерняя</t>
        </is>
      </c>
      <c r="C287" s="44" t="inlineStr">
        <is>
          <t>Сборка</t>
        </is>
      </c>
      <c r="D287" s="44" t="inlineStr">
        <is>
          <t>ASM-01</t>
        </is>
      </c>
      <c r="E287" s="44" t="inlineStr">
        <is>
          <t>Кузнецов Б.К.</t>
        </is>
      </c>
      <c r="F287" s="45" t="n">
        <v>4.83</v>
      </c>
      <c r="G287" s="46" t="n">
        <v>190</v>
      </c>
      <c r="H287" s="44" t="inlineStr">
        <is>
          <t>Нет материала</t>
        </is>
      </c>
    </row>
    <row r="288">
      <c r="A288" s="43" t="n">
        <v>46287</v>
      </c>
      <c r="B288" s="44" t="inlineStr">
        <is>
          <t>Вечерняя</t>
        </is>
      </c>
      <c r="C288" s="44" t="inlineStr">
        <is>
          <t>Сборка</t>
        </is>
      </c>
      <c r="D288" s="44" t="inlineStr">
        <is>
          <t>ASM-02</t>
        </is>
      </c>
      <c r="E288" s="44" t="inlineStr">
        <is>
          <t>Козлов И.Р.</t>
        </is>
      </c>
      <c r="F288" s="45" t="n">
        <v>8</v>
      </c>
      <c r="G288" s="46" t="n">
        <v>0</v>
      </c>
      <c r="H288" s="44" t="n"/>
    </row>
    <row r="289">
      <c r="A289" s="43" t="n">
        <v>46287</v>
      </c>
      <c r="B289" s="44" t="inlineStr">
        <is>
          <t>Вечерняя</t>
        </is>
      </c>
      <c r="C289" s="44" t="inlineStr">
        <is>
          <t>Мехобработка</t>
        </is>
      </c>
      <c r="D289" s="44" t="inlineStr">
        <is>
          <t>CNC-01</t>
        </is>
      </c>
      <c r="E289" s="44" t="inlineStr">
        <is>
          <t>Алексеев В.М.</t>
        </is>
      </c>
      <c r="F289" s="45" t="n">
        <v>7.5</v>
      </c>
      <c r="G289" s="46" t="n">
        <v>30</v>
      </c>
      <c r="H289" s="44" t="inlineStr">
        <is>
          <t>Замена инструмента</t>
        </is>
      </c>
    </row>
    <row r="290">
      <c r="A290" s="43" t="n">
        <v>46287</v>
      </c>
      <c r="B290" s="44" t="inlineStr">
        <is>
          <t>Вечерняя</t>
        </is>
      </c>
      <c r="C290" s="44" t="inlineStr">
        <is>
          <t>Мехобработка</t>
        </is>
      </c>
      <c r="D290" s="44" t="inlineStr">
        <is>
          <t>CNC-02</t>
        </is>
      </c>
      <c r="E290" s="44" t="inlineStr">
        <is>
          <t>Смирнов А.В.</t>
        </is>
      </c>
      <c r="F290" s="45" t="n">
        <v>7.33</v>
      </c>
      <c r="G290" s="46" t="n">
        <v>40</v>
      </c>
      <c r="H290" s="44" t="inlineStr">
        <is>
          <t>Переналадка</t>
        </is>
      </c>
    </row>
    <row r="291">
      <c r="A291" s="43" t="n">
        <v>46287</v>
      </c>
      <c r="B291" s="44" t="inlineStr">
        <is>
          <t>Вечерняя</t>
        </is>
      </c>
      <c r="C291" s="44" t="inlineStr">
        <is>
          <t>Мехобработка</t>
        </is>
      </c>
      <c r="D291" s="44" t="inlineStr">
        <is>
          <t>CNC-03</t>
        </is>
      </c>
      <c r="E291" s="44" t="inlineStr">
        <is>
          <t>Попов П.Л.</t>
        </is>
      </c>
      <c r="F291" s="45" t="n">
        <v>8</v>
      </c>
      <c r="G291" s="46" t="n">
        <v>0</v>
      </c>
      <c r="H291" s="44" t="n"/>
    </row>
    <row r="292">
      <c r="A292" s="43" t="n">
        <v>46287</v>
      </c>
      <c r="B292" s="44" t="inlineStr">
        <is>
          <t>Вечерняя</t>
        </is>
      </c>
      <c r="C292" s="44" t="inlineStr">
        <is>
          <t>Сварка</t>
        </is>
      </c>
      <c r="D292" s="44" t="inlineStr">
        <is>
          <t>WLD-01</t>
        </is>
      </c>
      <c r="E292" s="44" t="inlineStr">
        <is>
          <t>Соколов К.А.</t>
        </is>
      </c>
      <c r="F292" s="45" t="n">
        <v>7.42</v>
      </c>
      <c r="G292" s="46" t="n">
        <v>35</v>
      </c>
      <c r="H292" s="44" t="inlineStr">
        <is>
          <t>Контроль качества</t>
        </is>
      </c>
    </row>
    <row r="293">
      <c r="A293" s="43" t="n">
        <v>46287</v>
      </c>
      <c r="B293" s="44" t="inlineStr">
        <is>
          <t>Вечерняя</t>
        </is>
      </c>
      <c r="C293" s="44" t="inlineStr">
        <is>
          <t>Сварка</t>
        </is>
      </c>
      <c r="D293" s="44" t="inlineStr">
        <is>
          <t>WLD-02</t>
        </is>
      </c>
      <c r="E293" s="44" t="inlineStr">
        <is>
          <t>Попов В.Р.</t>
        </is>
      </c>
      <c r="F293" s="45" t="n">
        <v>4.25</v>
      </c>
      <c r="G293" s="46" t="n">
        <v>225</v>
      </c>
      <c r="H293" s="44" t="inlineStr">
        <is>
          <t>Поломка</t>
        </is>
      </c>
    </row>
    <row r="294">
      <c r="A294" s="43" t="n">
        <v>46287</v>
      </c>
      <c r="B294" s="44" t="inlineStr">
        <is>
          <t>Дневная</t>
        </is>
      </c>
      <c r="C294" s="44" t="inlineStr">
        <is>
          <t>Сборка</t>
        </is>
      </c>
      <c r="D294" s="44" t="inlineStr">
        <is>
          <t>ASM-01</t>
        </is>
      </c>
      <c r="E294" s="44" t="inlineStr">
        <is>
          <t>Волков О.Л.</t>
        </is>
      </c>
      <c r="F294" s="45" t="n">
        <v>8</v>
      </c>
      <c r="G294" s="46" t="n">
        <v>0</v>
      </c>
      <c r="H294" s="44" t="n"/>
    </row>
    <row r="295">
      <c r="A295" s="43" t="n">
        <v>46287</v>
      </c>
      <c r="B295" s="44" t="inlineStr">
        <is>
          <t>Дневная</t>
        </is>
      </c>
      <c r="C295" s="44" t="inlineStr">
        <is>
          <t>Мехобработка</t>
        </is>
      </c>
      <c r="D295" s="44" t="inlineStr">
        <is>
          <t>CNC-01</t>
        </is>
      </c>
      <c r="E295" s="44" t="inlineStr">
        <is>
          <t>Михайлов К.Д.</t>
        </is>
      </c>
      <c r="F295" s="45" t="n">
        <v>6.25</v>
      </c>
      <c r="G295" s="46" t="n">
        <v>105</v>
      </c>
      <c r="H295" s="44" t="inlineStr">
        <is>
          <t>Переналадка</t>
        </is>
      </c>
    </row>
    <row r="296">
      <c r="A296" s="43" t="n">
        <v>46287</v>
      </c>
      <c r="B296" s="44" t="inlineStr">
        <is>
          <t>Дневная</t>
        </is>
      </c>
      <c r="C296" s="44" t="inlineStr">
        <is>
          <t>Мехобработка</t>
        </is>
      </c>
      <c r="D296" s="44" t="inlineStr">
        <is>
          <t>CNC-03</t>
        </is>
      </c>
      <c r="E296" s="44" t="inlineStr">
        <is>
          <t>Николаев О.И.</t>
        </is>
      </c>
      <c r="F296" s="45" t="n">
        <v>6.83</v>
      </c>
      <c r="G296" s="46" t="n">
        <v>70</v>
      </c>
      <c r="H296" s="44" t="inlineStr">
        <is>
          <t>Нет материала</t>
        </is>
      </c>
    </row>
    <row r="297">
      <c r="A297" s="43" t="n">
        <v>46287</v>
      </c>
      <c r="B297" s="44" t="inlineStr">
        <is>
          <t>Дневная</t>
        </is>
      </c>
      <c r="C297" s="44" t="inlineStr">
        <is>
          <t>Покраска</t>
        </is>
      </c>
      <c r="D297" s="44" t="inlineStr">
        <is>
          <t>PNT-01</t>
        </is>
      </c>
      <c r="E297" s="44" t="inlineStr">
        <is>
          <t>Смирнов С.Г.</t>
        </is>
      </c>
      <c r="F297" s="45" t="n">
        <v>8</v>
      </c>
      <c r="G297" s="46" t="n">
        <v>0</v>
      </c>
      <c r="H297" s="44" t="n"/>
    </row>
    <row r="298">
      <c r="A298" s="43" t="n">
        <v>46287</v>
      </c>
      <c r="B298" s="44" t="inlineStr">
        <is>
          <t>Дневная</t>
        </is>
      </c>
      <c r="C298" s="44" t="inlineStr">
        <is>
          <t>Сварка</t>
        </is>
      </c>
      <c r="D298" s="44" t="inlineStr">
        <is>
          <t>WLD-01</t>
        </is>
      </c>
      <c r="E298" s="44" t="inlineStr">
        <is>
          <t>Фёдоров В.К.</t>
        </is>
      </c>
      <c r="F298" s="45" t="n">
        <v>6.42</v>
      </c>
      <c r="G298" s="46" t="n">
        <v>95</v>
      </c>
      <c r="H298" s="44" t="inlineStr">
        <is>
          <t>Плановое ТО</t>
        </is>
      </c>
    </row>
    <row r="299">
      <c r="A299" s="43" t="n">
        <v>46287</v>
      </c>
      <c r="B299" s="44" t="inlineStr">
        <is>
          <t>Дневная</t>
        </is>
      </c>
      <c r="C299" s="44" t="inlineStr">
        <is>
          <t>Сварка</t>
        </is>
      </c>
      <c r="D299" s="44" t="inlineStr">
        <is>
          <t>WLD-02</t>
        </is>
      </c>
      <c r="E299" s="44" t="inlineStr">
        <is>
          <t>Кузнецов П.Г.</t>
        </is>
      </c>
      <c r="F299" s="45" t="n">
        <v>6.83</v>
      </c>
      <c r="G299" s="46" t="n">
        <v>70</v>
      </c>
      <c r="H299" s="44" t="inlineStr">
        <is>
          <t>Переналадка</t>
        </is>
      </c>
    </row>
    <row r="300">
      <c r="A300" s="43" t="n">
        <v>46287</v>
      </c>
      <c r="B300" s="44" t="inlineStr">
        <is>
          <t>Ночная</t>
        </is>
      </c>
      <c r="C300" s="44" t="inlineStr">
        <is>
          <t>Мехобработка</t>
        </is>
      </c>
      <c r="D300" s="44" t="inlineStr">
        <is>
          <t>CNC-01</t>
        </is>
      </c>
      <c r="E300" s="44" t="inlineStr">
        <is>
          <t>Соколов Н.Г.</t>
        </is>
      </c>
      <c r="F300" s="45" t="n">
        <v>8</v>
      </c>
      <c r="G300" s="46" t="n">
        <v>0</v>
      </c>
      <c r="H300" s="44" t="n"/>
    </row>
    <row r="301">
      <c r="A301" s="43" t="n">
        <v>46287</v>
      </c>
      <c r="B301" s="44" t="inlineStr">
        <is>
          <t>Ночная</t>
        </is>
      </c>
      <c r="C301" s="44" t="inlineStr">
        <is>
          <t>Мехобработка</t>
        </is>
      </c>
      <c r="D301" s="44" t="inlineStr">
        <is>
          <t>CNC-02</t>
        </is>
      </c>
      <c r="E301" s="44" t="inlineStr">
        <is>
          <t>Михайлов С.Л.</t>
        </is>
      </c>
      <c r="F301" s="45" t="n">
        <v>7.5</v>
      </c>
      <c r="G301" s="46" t="n">
        <v>30</v>
      </c>
      <c r="H301" s="44" t="inlineStr">
        <is>
          <t>Переналадка</t>
        </is>
      </c>
    </row>
    <row r="302">
      <c r="A302" s="43" t="n">
        <v>46287</v>
      </c>
      <c r="B302" s="44" t="inlineStr">
        <is>
          <t>Ночная</t>
        </is>
      </c>
      <c r="C302" s="44" t="inlineStr">
        <is>
          <t>Мехобработка</t>
        </is>
      </c>
      <c r="D302" s="44" t="inlineStr">
        <is>
          <t>CNC-03</t>
        </is>
      </c>
      <c r="E302" s="44" t="inlineStr">
        <is>
          <t>Иванов Е.Р.</t>
        </is>
      </c>
      <c r="F302" s="45" t="n">
        <v>8</v>
      </c>
      <c r="G302" s="46" t="n">
        <v>0</v>
      </c>
      <c r="H302" s="44" t="n"/>
    </row>
    <row r="303">
      <c r="A303" s="43" t="n">
        <v>46288</v>
      </c>
      <c r="B303" s="44" t="inlineStr">
        <is>
          <t>Вечерняя</t>
        </is>
      </c>
      <c r="C303" s="44" t="inlineStr">
        <is>
          <t>Сборка</t>
        </is>
      </c>
      <c r="D303" s="44" t="inlineStr">
        <is>
          <t>ASM-01</t>
        </is>
      </c>
      <c r="E303" s="44" t="inlineStr">
        <is>
          <t>Кузнецов Б.К.</t>
        </is>
      </c>
      <c r="F303" s="45" t="n">
        <v>8</v>
      </c>
      <c r="G303" s="46" t="n">
        <v>0</v>
      </c>
      <c r="H303" s="44" t="n"/>
    </row>
    <row r="304">
      <c r="A304" s="43" t="n">
        <v>46288</v>
      </c>
      <c r="B304" s="44" t="inlineStr">
        <is>
          <t>Вечерняя</t>
        </is>
      </c>
      <c r="C304" s="44" t="inlineStr">
        <is>
          <t>Сборка</t>
        </is>
      </c>
      <c r="D304" s="44" t="inlineStr">
        <is>
          <t>ASM-02</t>
        </is>
      </c>
      <c r="E304" s="44" t="inlineStr">
        <is>
          <t>Козлов И.Р.</t>
        </is>
      </c>
      <c r="F304" s="45" t="n">
        <v>8</v>
      </c>
      <c r="G304" s="46" t="n">
        <v>0</v>
      </c>
      <c r="H304" s="44" t="n"/>
    </row>
    <row r="305">
      <c r="A305" s="43" t="n">
        <v>46288</v>
      </c>
      <c r="B305" s="44" t="inlineStr">
        <is>
          <t>Вечерняя</t>
        </is>
      </c>
      <c r="C305" s="44" t="inlineStr">
        <is>
          <t>Мехобработка</t>
        </is>
      </c>
      <c r="D305" s="44" t="inlineStr">
        <is>
          <t>CNC-01</t>
        </is>
      </c>
      <c r="E305" s="44" t="inlineStr">
        <is>
          <t>Алексеев В.М.</t>
        </is>
      </c>
      <c r="F305" s="45" t="n">
        <v>8</v>
      </c>
      <c r="G305" s="46" t="n">
        <v>0</v>
      </c>
      <c r="H305" s="44" t="n"/>
    </row>
    <row r="306">
      <c r="A306" s="43" t="n">
        <v>46288</v>
      </c>
      <c r="B306" s="44" t="inlineStr">
        <is>
          <t>Вечерняя</t>
        </is>
      </c>
      <c r="C306" s="44" t="inlineStr">
        <is>
          <t>Мехобработка</t>
        </is>
      </c>
      <c r="D306" s="44" t="inlineStr">
        <is>
          <t>CNC-02</t>
        </is>
      </c>
      <c r="E306" s="44" t="inlineStr">
        <is>
          <t>Смирнов А.В.</t>
        </is>
      </c>
      <c r="F306" s="45" t="n">
        <v>7.08</v>
      </c>
      <c r="G306" s="46" t="n">
        <v>55</v>
      </c>
      <c r="H306" s="44" t="inlineStr">
        <is>
          <t>Нет материала</t>
        </is>
      </c>
    </row>
    <row r="307">
      <c r="A307" s="43" t="n">
        <v>46288</v>
      </c>
      <c r="B307" s="44" t="inlineStr">
        <is>
          <t>Вечерняя</t>
        </is>
      </c>
      <c r="C307" s="44" t="inlineStr">
        <is>
          <t>Мехобработка</t>
        </is>
      </c>
      <c r="D307" s="44" t="inlineStr">
        <is>
          <t>CNC-03</t>
        </is>
      </c>
      <c r="E307" s="44" t="inlineStr">
        <is>
          <t>Попов П.Л.</t>
        </is>
      </c>
      <c r="F307" s="45" t="n">
        <v>8</v>
      </c>
      <c r="G307" s="46" t="n">
        <v>0</v>
      </c>
      <c r="H307" s="44" t="n"/>
    </row>
    <row r="308">
      <c r="A308" s="43" t="n">
        <v>46288</v>
      </c>
      <c r="B308" s="44" t="inlineStr">
        <is>
          <t>Вечерняя</t>
        </is>
      </c>
      <c r="C308" s="44" t="inlineStr">
        <is>
          <t>Сварка</t>
        </is>
      </c>
      <c r="D308" s="44" t="inlineStr">
        <is>
          <t>WLD-01</t>
        </is>
      </c>
      <c r="E308" s="44" t="inlineStr">
        <is>
          <t>Соколов К.А.</t>
        </is>
      </c>
      <c r="F308" s="45" t="n">
        <v>6.33</v>
      </c>
      <c r="G308" s="46" t="n">
        <v>100</v>
      </c>
      <c r="H308" s="44" t="inlineStr">
        <is>
          <t>Переналадка</t>
        </is>
      </c>
    </row>
    <row r="309">
      <c r="A309" s="43" t="n">
        <v>46288</v>
      </c>
      <c r="B309" s="44" t="inlineStr">
        <is>
          <t>Вечерняя</t>
        </is>
      </c>
      <c r="C309" s="44" t="inlineStr">
        <is>
          <t>Сварка</t>
        </is>
      </c>
      <c r="D309" s="44" t="inlineStr">
        <is>
          <t>WLD-02</t>
        </is>
      </c>
      <c r="E309" s="44" t="inlineStr">
        <is>
          <t>Попов В.Р.</t>
        </is>
      </c>
      <c r="F309" s="45" t="n">
        <v>8</v>
      </c>
      <c r="G309" s="46" t="n">
        <v>0</v>
      </c>
      <c r="H309" s="44" t="n"/>
    </row>
    <row r="310">
      <c r="A310" s="43" t="n">
        <v>46288</v>
      </c>
      <c r="B310" s="44" t="inlineStr">
        <is>
          <t>Дневная</t>
        </is>
      </c>
      <c r="C310" s="44" t="inlineStr">
        <is>
          <t>Сборка</t>
        </is>
      </c>
      <c r="D310" s="44" t="inlineStr">
        <is>
          <t>ASM-01</t>
        </is>
      </c>
      <c r="E310" s="44" t="inlineStr">
        <is>
          <t>Волков О.Л.</t>
        </is>
      </c>
      <c r="F310" s="45" t="n">
        <v>7</v>
      </c>
      <c r="G310" s="46" t="n">
        <v>60</v>
      </c>
      <c r="H310" s="44" t="inlineStr">
        <is>
          <t>Нет материала</t>
        </is>
      </c>
    </row>
    <row r="311">
      <c r="A311" s="43" t="n">
        <v>46288</v>
      </c>
      <c r="B311" s="44" t="inlineStr">
        <is>
          <t>Дневная</t>
        </is>
      </c>
      <c r="C311" s="44" t="inlineStr">
        <is>
          <t>Сборка</t>
        </is>
      </c>
      <c r="D311" s="44" t="inlineStr">
        <is>
          <t>ASM-02</t>
        </is>
      </c>
      <c r="E311" s="44" t="inlineStr">
        <is>
          <t>Попов А.Л.</t>
        </is>
      </c>
      <c r="F311" s="45" t="n">
        <v>8</v>
      </c>
      <c r="G311" s="46" t="n">
        <v>0</v>
      </c>
      <c r="H311" s="44" t="n"/>
    </row>
    <row r="312">
      <c r="A312" s="43" t="n">
        <v>46288</v>
      </c>
      <c r="B312" s="44" t="inlineStr">
        <is>
          <t>Дневная</t>
        </is>
      </c>
      <c r="C312" s="44" t="inlineStr">
        <is>
          <t>Мехобработка</t>
        </is>
      </c>
      <c r="D312" s="44" t="inlineStr">
        <is>
          <t>CNC-01</t>
        </is>
      </c>
      <c r="E312" s="44" t="inlineStr">
        <is>
          <t>Михайлов К.Д.</t>
        </is>
      </c>
      <c r="F312" s="45" t="n">
        <v>6.5</v>
      </c>
      <c r="G312" s="46" t="n">
        <v>90</v>
      </c>
      <c r="H312" s="44" t="inlineStr">
        <is>
          <t>Поломка</t>
        </is>
      </c>
    </row>
    <row r="313">
      <c r="A313" s="43" t="n">
        <v>46288</v>
      </c>
      <c r="B313" s="44" t="inlineStr">
        <is>
          <t>Дневная</t>
        </is>
      </c>
      <c r="C313" s="44" t="inlineStr">
        <is>
          <t>Мехобработка</t>
        </is>
      </c>
      <c r="D313" s="44" t="inlineStr">
        <is>
          <t>CNC-02</t>
        </is>
      </c>
      <c r="E313" s="44" t="inlineStr">
        <is>
          <t>Морозов Л.Д.</t>
        </is>
      </c>
      <c r="F313" s="45" t="n">
        <v>5.83</v>
      </c>
      <c r="G313" s="46" t="n">
        <v>130</v>
      </c>
      <c r="H313" s="44" t="inlineStr">
        <is>
          <t>Поломка</t>
        </is>
      </c>
    </row>
    <row r="314">
      <c r="A314" s="43" t="n">
        <v>46288</v>
      </c>
      <c r="B314" s="44" t="inlineStr">
        <is>
          <t>Дневная</t>
        </is>
      </c>
      <c r="C314" s="44" t="inlineStr">
        <is>
          <t>Мехобработка</t>
        </is>
      </c>
      <c r="D314" s="44" t="inlineStr">
        <is>
          <t>CNC-03</t>
        </is>
      </c>
      <c r="E314" s="44" t="inlineStr">
        <is>
          <t>Николаев О.И.</t>
        </is>
      </c>
      <c r="F314" s="45" t="n">
        <v>7.75</v>
      </c>
      <c r="G314" s="46" t="n">
        <v>15</v>
      </c>
      <c r="H314" s="44" t="inlineStr">
        <is>
          <t>Замена инструмента</t>
        </is>
      </c>
    </row>
    <row r="315">
      <c r="A315" s="43" t="n">
        <v>46288</v>
      </c>
      <c r="B315" s="44" t="inlineStr">
        <is>
          <t>Дневная</t>
        </is>
      </c>
      <c r="C315" s="44" t="inlineStr">
        <is>
          <t>Покраска</t>
        </is>
      </c>
      <c r="D315" s="44" t="inlineStr">
        <is>
          <t>PNT-01</t>
        </is>
      </c>
      <c r="E315" s="44" t="inlineStr">
        <is>
          <t>Смирнов С.Г.</t>
        </is>
      </c>
      <c r="F315" s="45" t="n">
        <v>8</v>
      </c>
      <c r="G315" s="46" t="n">
        <v>0</v>
      </c>
      <c r="H315" s="44" t="n"/>
    </row>
    <row r="316">
      <c r="A316" s="43" t="n">
        <v>46288</v>
      </c>
      <c r="B316" s="44" t="inlineStr">
        <is>
          <t>Дневная</t>
        </is>
      </c>
      <c r="C316" s="44" t="inlineStr">
        <is>
          <t>Сварка</t>
        </is>
      </c>
      <c r="D316" s="44" t="inlineStr">
        <is>
          <t>WLD-01</t>
        </is>
      </c>
      <c r="E316" s="44" t="inlineStr">
        <is>
          <t>Фёдоров В.К.</t>
        </is>
      </c>
      <c r="F316" s="45" t="n">
        <v>5.92</v>
      </c>
      <c r="G316" s="46" t="n">
        <v>125</v>
      </c>
      <c r="H316" s="44" t="inlineStr">
        <is>
          <t>Поломка</t>
        </is>
      </c>
    </row>
    <row r="317">
      <c r="A317" s="43" t="n">
        <v>46288</v>
      </c>
      <c r="B317" s="44" t="inlineStr">
        <is>
          <t>Дневная</t>
        </is>
      </c>
      <c r="C317" s="44" t="inlineStr">
        <is>
          <t>Сварка</t>
        </is>
      </c>
      <c r="D317" s="44" t="inlineStr">
        <is>
          <t>WLD-02</t>
        </is>
      </c>
      <c r="E317" s="44" t="inlineStr">
        <is>
          <t>Кузнецов П.Г.</t>
        </is>
      </c>
      <c r="F317" s="45" t="n">
        <v>8</v>
      </c>
      <c r="G317" s="46" t="n">
        <v>0</v>
      </c>
      <c r="H317" s="44" t="n"/>
    </row>
    <row r="318">
      <c r="A318" s="43" t="n">
        <v>46288</v>
      </c>
      <c r="B318" s="44" t="inlineStr">
        <is>
          <t>Ночная</t>
        </is>
      </c>
      <c r="C318" s="44" t="inlineStr">
        <is>
          <t>Мехобработка</t>
        </is>
      </c>
      <c r="D318" s="44" t="inlineStr">
        <is>
          <t>CNC-01</t>
        </is>
      </c>
      <c r="E318" s="44" t="inlineStr">
        <is>
          <t>Соколов Н.Г.</t>
        </is>
      </c>
      <c r="F318" s="45" t="n">
        <v>8</v>
      </c>
      <c r="G318" s="46" t="n">
        <v>0</v>
      </c>
      <c r="H318" s="44" t="n"/>
    </row>
    <row r="319">
      <c r="A319" s="43" t="n">
        <v>46288</v>
      </c>
      <c r="B319" s="44" t="inlineStr">
        <is>
          <t>Ночная</t>
        </is>
      </c>
      <c r="C319" s="44" t="inlineStr">
        <is>
          <t>Мехобработка</t>
        </is>
      </c>
      <c r="D319" s="44" t="inlineStr">
        <is>
          <t>CNC-02</t>
        </is>
      </c>
      <c r="E319" s="44" t="inlineStr">
        <is>
          <t>Михайлов С.Л.</t>
        </is>
      </c>
      <c r="F319" s="45" t="n">
        <v>6.92</v>
      </c>
      <c r="G319" s="46" t="n">
        <v>65</v>
      </c>
      <c r="H319" s="44" t="inlineStr">
        <is>
          <t>Нет материала</t>
        </is>
      </c>
    </row>
    <row r="320">
      <c r="A320" s="43" t="n">
        <v>46288</v>
      </c>
      <c r="B320" s="44" t="inlineStr">
        <is>
          <t>Ночная</t>
        </is>
      </c>
      <c r="C320" s="44" t="inlineStr">
        <is>
          <t>Мехобработка</t>
        </is>
      </c>
      <c r="D320" s="44" t="inlineStr">
        <is>
          <t>CNC-03</t>
        </is>
      </c>
      <c r="E320" s="44" t="inlineStr">
        <is>
          <t>Иванов Е.Р.</t>
        </is>
      </c>
      <c r="F320" s="45" t="n">
        <v>8</v>
      </c>
      <c r="G320" s="46" t="n">
        <v>0</v>
      </c>
      <c r="H320" s="44" t="n"/>
    </row>
    <row r="321">
      <c r="A321" s="43" t="n">
        <v>46289</v>
      </c>
      <c r="B321" s="44" t="inlineStr">
        <is>
          <t>Вечерняя</t>
        </is>
      </c>
      <c r="C321" s="44" t="inlineStr">
        <is>
          <t>Сборка</t>
        </is>
      </c>
      <c r="D321" s="44" t="inlineStr">
        <is>
          <t>ASM-01</t>
        </is>
      </c>
      <c r="E321" s="44" t="inlineStr">
        <is>
          <t>Кузнецов Б.К.</t>
        </is>
      </c>
      <c r="F321" s="45" t="n">
        <v>7.67</v>
      </c>
      <c r="G321" s="46" t="n">
        <v>20</v>
      </c>
      <c r="H321" s="44" t="inlineStr">
        <is>
          <t>Контроль качества</t>
        </is>
      </c>
    </row>
    <row r="322">
      <c r="A322" s="43" t="n">
        <v>46289</v>
      </c>
      <c r="B322" s="44" t="inlineStr">
        <is>
          <t>Вечерняя</t>
        </is>
      </c>
      <c r="C322" s="44" t="inlineStr">
        <is>
          <t>Сборка</t>
        </is>
      </c>
      <c r="D322" s="44" t="inlineStr">
        <is>
          <t>ASM-02</t>
        </is>
      </c>
      <c r="E322" s="44" t="inlineStr">
        <is>
          <t>Козлов И.Р.</t>
        </is>
      </c>
      <c r="F322" s="45" t="n">
        <v>5.75</v>
      </c>
      <c r="G322" s="46" t="n">
        <v>135</v>
      </c>
      <c r="H322" s="44" t="inlineStr">
        <is>
          <t>Нет материала</t>
        </is>
      </c>
    </row>
    <row r="323">
      <c r="A323" s="43" t="n">
        <v>46289</v>
      </c>
      <c r="B323" s="44" t="inlineStr">
        <is>
          <t>Вечерняя</t>
        </is>
      </c>
      <c r="C323" s="44" t="inlineStr">
        <is>
          <t>Мехобработка</t>
        </is>
      </c>
      <c r="D323" s="44" t="inlineStr">
        <is>
          <t>CNC-01</t>
        </is>
      </c>
      <c r="E323" s="44" t="inlineStr">
        <is>
          <t>Алексеев В.М.</t>
        </is>
      </c>
      <c r="F323" s="45" t="n">
        <v>8</v>
      </c>
      <c r="G323" s="46" t="n">
        <v>0</v>
      </c>
      <c r="H323" s="44" t="n"/>
    </row>
    <row r="324">
      <c r="A324" s="43" t="n">
        <v>46289</v>
      </c>
      <c r="B324" s="44" t="inlineStr">
        <is>
          <t>Вечерняя</t>
        </is>
      </c>
      <c r="C324" s="44" t="inlineStr">
        <is>
          <t>Мехобработка</t>
        </is>
      </c>
      <c r="D324" s="44" t="inlineStr">
        <is>
          <t>CNC-02</t>
        </is>
      </c>
      <c r="E324" s="44" t="inlineStr">
        <is>
          <t>Смирнов А.В.</t>
        </is>
      </c>
      <c r="F324" s="45" t="n">
        <v>6.83</v>
      </c>
      <c r="G324" s="46" t="n">
        <v>70</v>
      </c>
      <c r="H324" s="44" t="inlineStr">
        <is>
          <t>Поломка</t>
        </is>
      </c>
    </row>
    <row r="325">
      <c r="A325" s="43" t="n">
        <v>46289</v>
      </c>
      <c r="B325" s="44" t="inlineStr">
        <is>
          <t>Вечерняя</t>
        </is>
      </c>
      <c r="C325" s="44" t="inlineStr">
        <is>
          <t>Мехобработка</t>
        </is>
      </c>
      <c r="D325" s="44" t="inlineStr">
        <is>
          <t>CNC-03</t>
        </is>
      </c>
      <c r="E325" s="44" t="inlineStr">
        <is>
          <t>Попов П.Л.</t>
        </is>
      </c>
      <c r="F325" s="45" t="n">
        <v>8</v>
      </c>
      <c r="G325" s="46" t="n">
        <v>0</v>
      </c>
      <c r="H325" s="44" t="n"/>
    </row>
    <row r="326">
      <c r="A326" s="43" t="n">
        <v>46289</v>
      </c>
      <c r="B326" s="44" t="inlineStr">
        <is>
          <t>Вечерняя</t>
        </is>
      </c>
      <c r="C326" s="44" t="inlineStr">
        <is>
          <t>Сварка</t>
        </is>
      </c>
      <c r="D326" s="44" t="inlineStr">
        <is>
          <t>WLD-01</t>
        </is>
      </c>
      <c r="E326" s="44" t="inlineStr">
        <is>
          <t>Соколов К.А.</t>
        </is>
      </c>
      <c r="F326" s="45" t="n">
        <v>7.17</v>
      </c>
      <c r="G326" s="46" t="n">
        <v>50</v>
      </c>
      <c r="H326" s="44" t="inlineStr">
        <is>
          <t>Переналадка</t>
        </is>
      </c>
    </row>
    <row r="327">
      <c r="A327" s="43" t="n">
        <v>46289</v>
      </c>
      <c r="B327" s="44" t="inlineStr">
        <is>
          <t>Вечерняя</t>
        </is>
      </c>
      <c r="C327" s="44" t="inlineStr">
        <is>
          <t>Сварка</t>
        </is>
      </c>
      <c r="D327" s="44" t="inlineStr">
        <is>
          <t>WLD-02</t>
        </is>
      </c>
      <c r="E327" s="44" t="inlineStr">
        <is>
          <t>Попов В.Р.</t>
        </is>
      </c>
      <c r="F327" s="45" t="n">
        <v>2.83</v>
      </c>
      <c r="G327" s="46" t="n">
        <v>310</v>
      </c>
      <c r="H327" s="44" t="inlineStr">
        <is>
          <t>Поломка</t>
        </is>
      </c>
    </row>
    <row r="328">
      <c r="A328" s="43" t="n">
        <v>46289</v>
      </c>
      <c r="B328" s="44" t="inlineStr">
        <is>
          <t>Дневная</t>
        </is>
      </c>
      <c r="C328" s="44" t="inlineStr">
        <is>
          <t>Сборка</t>
        </is>
      </c>
      <c r="D328" s="44" t="inlineStr">
        <is>
          <t>ASM-01</t>
        </is>
      </c>
      <c r="E328" s="44" t="inlineStr">
        <is>
          <t>Волков О.Л.</t>
        </is>
      </c>
      <c r="F328" s="45" t="n">
        <v>7.25</v>
      </c>
      <c r="G328" s="46" t="n">
        <v>45</v>
      </c>
      <c r="H328" s="44" t="inlineStr">
        <is>
          <t>Контроль качества</t>
        </is>
      </c>
    </row>
    <row r="329">
      <c r="A329" s="43" t="n">
        <v>46289</v>
      </c>
      <c r="B329" s="44" t="inlineStr">
        <is>
          <t>Дневная</t>
        </is>
      </c>
      <c r="C329" s="44" t="inlineStr">
        <is>
          <t>Сборка</t>
        </is>
      </c>
      <c r="D329" s="44" t="inlineStr">
        <is>
          <t>ASM-02</t>
        </is>
      </c>
      <c r="E329" s="44" t="inlineStr">
        <is>
          <t>Попов А.Л.</t>
        </is>
      </c>
      <c r="F329" s="45" t="n">
        <v>7.33</v>
      </c>
      <c r="G329" s="46" t="n">
        <v>40</v>
      </c>
      <c r="H329" s="44" t="inlineStr">
        <is>
          <t>Контроль качества</t>
        </is>
      </c>
    </row>
    <row r="330">
      <c r="A330" s="43" t="n">
        <v>46289</v>
      </c>
      <c r="B330" s="44" t="inlineStr">
        <is>
          <t>Дневная</t>
        </is>
      </c>
      <c r="C330" s="44" t="inlineStr">
        <is>
          <t>Мехобработка</t>
        </is>
      </c>
      <c r="D330" s="44" t="inlineStr">
        <is>
          <t>CNC-01</t>
        </is>
      </c>
      <c r="E330" s="44" t="inlineStr">
        <is>
          <t>Михайлов К.Д.</t>
        </is>
      </c>
      <c r="F330" s="45" t="n">
        <v>7.67</v>
      </c>
      <c r="G330" s="46" t="n">
        <v>20</v>
      </c>
      <c r="H330" s="44" t="inlineStr">
        <is>
          <t>Контроль качества</t>
        </is>
      </c>
    </row>
    <row r="331">
      <c r="A331" s="43" t="n">
        <v>46289</v>
      </c>
      <c r="B331" s="44" t="inlineStr">
        <is>
          <t>Дневная</t>
        </is>
      </c>
      <c r="C331" s="44" t="inlineStr">
        <is>
          <t>Мехобработка</t>
        </is>
      </c>
      <c r="D331" s="44" t="inlineStr">
        <is>
          <t>CNC-02</t>
        </is>
      </c>
      <c r="E331" s="44" t="inlineStr">
        <is>
          <t>Морозов Л.Д.</t>
        </is>
      </c>
      <c r="F331" s="45" t="n">
        <v>7.5</v>
      </c>
      <c r="G331" s="46" t="n">
        <v>30</v>
      </c>
      <c r="H331" s="44" t="inlineStr">
        <is>
          <t>Замена инструмента</t>
        </is>
      </c>
    </row>
    <row r="332">
      <c r="A332" s="43" t="n">
        <v>46289</v>
      </c>
      <c r="B332" s="44" t="inlineStr">
        <is>
          <t>Дневная</t>
        </is>
      </c>
      <c r="C332" s="44" t="inlineStr">
        <is>
          <t>Мехобработка</t>
        </is>
      </c>
      <c r="D332" s="44" t="inlineStr">
        <is>
          <t>CNC-03</t>
        </is>
      </c>
      <c r="E332" s="44" t="inlineStr">
        <is>
          <t>Николаев О.И.</t>
        </is>
      </c>
      <c r="F332" s="45" t="n">
        <v>8</v>
      </c>
      <c r="G332" s="46" t="n">
        <v>0</v>
      </c>
      <c r="H332" s="44" t="n"/>
    </row>
    <row r="333">
      <c r="A333" s="43" t="n">
        <v>46289</v>
      </c>
      <c r="B333" s="44" t="inlineStr">
        <is>
          <t>Дневная</t>
        </is>
      </c>
      <c r="C333" s="44" t="inlineStr">
        <is>
          <t>Покраска</t>
        </is>
      </c>
      <c r="D333" s="44" t="inlineStr">
        <is>
          <t>PNT-01</t>
        </is>
      </c>
      <c r="E333" s="44" t="inlineStr">
        <is>
          <t>Смирнов С.Г.</t>
        </is>
      </c>
      <c r="F333" s="45" t="n">
        <v>7.75</v>
      </c>
      <c r="G333" s="46" t="n">
        <v>15</v>
      </c>
      <c r="H333" s="44" t="inlineStr">
        <is>
          <t>Замена инструмента</t>
        </is>
      </c>
    </row>
    <row r="334">
      <c r="A334" s="43" t="n">
        <v>46289</v>
      </c>
      <c r="B334" s="44" t="inlineStr">
        <is>
          <t>Дневная</t>
        </is>
      </c>
      <c r="C334" s="44" t="inlineStr">
        <is>
          <t>Сварка</t>
        </is>
      </c>
      <c r="D334" s="44" t="inlineStr">
        <is>
          <t>WLD-02</t>
        </is>
      </c>
      <c r="E334" s="44" t="inlineStr">
        <is>
          <t>Кузнецов П.Г.</t>
        </is>
      </c>
      <c r="F334" s="45" t="n">
        <v>7.67</v>
      </c>
      <c r="G334" s="46" t="n">
        <v>20</v>
      </c>
      <c r="H334" s="44" t="inlineStr">
        <is>
          <t>Контроль качества</t>
        </is>
      </c>
    </row>
    <row r="335">
      <c r="A335" s="43" t="n">
        <v>46289</v>
      </c>
      <c r="B335" s="44" t="inlineStr">
        <is>
          <t>Ночная</t>
        </is>
      </c>
      <c r="C335" s="44" t="inlineStr">
        <is>
          <t>Мехобработка</t>
        </is>
      </c>
      <c r="D335" s="44" t="inlineStr">
        <is>
          <t>CNC-01</t>
        </is>
      </c>
      <c r="E335" s="44" t="inlineStr">
        <is>
          <t>Соколов Н.Г.</t>
        </is>
      </c>
      <c r="F335" s="45" t="n">
        <v>7.42</v>
      </c>
      <c r="G335" s="46" t="n">
        <v>35</v>
      </c>
      <c r="H335" s="44" t="inlineStr">
        <is>
          <t>Контроль качества</t>
        </is>
      </c>
    </row>
    <row r="336">
      <c r="A336" s="43" t="n">
        <v>46289</v>
      </c>
      <c r="B336" s="44" t="inlineStr">
        <is>
          <t>Ночная</t>
        </is>
      </c>
      <c r="C336" s="44" t="inlineStr">
        <is>
          <t>Мехобработка</t>
        </is>
      </c>
      <c r="D336" s="44" t="inlineStr">
        <is>
          <t>CNC-02</t>
        </is>
      </c>
      <c r="E336" s="44" t="inlineStr">
        <is>
          <t>Михайлов С.Л.</t>
        </is>
      </c>
      <c r="F336" s="45" t="n">
        <v>6.42</v>
      </c>
      <c r="G336" s="46" t="n">
        <v>95</v>
      </c>
      <c r="H336" s="44" t="inlineStr">
        <is>
          <t>Нет материала</t>
        </is>
      </c>
    </row>
    <row r="337">
      <c r="A337" s="43" t="n">
        <v>46289</v>
      </c>
      <c r="B337" s="44" t="inlineStr">
        <is>
          <t>Ночная</t>
        </is>
      </c>
      <c r="C337" s="44" t="inlineStr">
        <is>
          <t>Мехобработка</t>
        </is>
      </c>
      <c r="D337" s="44" t="inlineStr">
        <is>
          <t>CNC-03</t>
        </is>
      </c>
      <c r="E337" s="44" t="inlineStr">
        <is>
          <t>Иванов Е.Р.</t>
        </is>
      </c>
      <c r="F337" s="45" t="n">
        <v>6.33</v>
      </c>
      <c r="G337" s="46" t="n">
        <v>100</v>
      </c>
      <c r="H337" s="44" t="inlineStr">
        <is>
          <t>Переналадка</t>
        </is>
      </c>
    </row>
    <row r="338">
      <c r="A338" s="43" t="n">
        <v>46290</v>
      </c>
      <c r="B338" s="44" t="inlineStr">
        <is>
          <t>Вечерняя</t>
        </is>
      </c>
      <c r="C338" s="44" t="inlineStr">
        <is>
          <t>Сборка</t>
        </is>
      </c>
      <c r="D338" s="44" t="inlineStr">
        <is>
          <t>ASM-01</t>
        </is>
      </c>
      <c r="E338" s="44" t="inlineStr">
        <is>
          <t>Кузнецов Б.К.</t>
        </is>
      </c>
      <c r="F338" s="45" t="n">
        <v>8</v>
      </c>
      <c r="G338" s="46" t="n">
        <v>0</v>
      </c>
      <c r="H338" s="44" t="n"/>
    </row>
    <row r="339">
      <c r="A339" s="43" t="n">
        <v>46290</v>
      </c>
      <c r="B339" s="44" t="inlineStr">
        <is>
          <t>Вечерняя</t>
        </is>
      </c>
      <c r="C339" s="44" t="inlineStr">
        <is>
          <t>Сборка</t>
        </is>
      </c>
      <c r="D339" s="44" t="inlineStr">
        <is>
          <t>ASM-02</t>
        </is>
      </c>
      <c r="E339" s="44" t="inlineStr">
        <is>
          <t>Козлов И.Р.</t>
        </is>
      </c>
      <c r="F339" s="45" t="n">
        <v>8</v>
      </c>
      <c r="G339" s="46" t="n">
        <v>0</v>
      </c>
      <c r="H339" s="44" t="n"/>
    </row>
    <row r="340">
      <c r="A340" s="43" t="n">
        <v>46290</v>
      </c>
      <c r="B340" s="44" t="inlineStr">
        <is>
          <t>Вечерняя</t>
        </is>
      </c>
      <c r="C340" s="44" t="inlineStr">
        <is>
          <t>Мехобработка</t>
        </is>
      </c>
      <c r="D340" s="44" t="inlineStr">
        <is>
          <t>CNC-01</t>
        </is>
      </c>
      <c r="E340" s="44" t="inlineStr">
        <is>
          <t>Алексеев В.М.</t>
        </is>
      </c>
      <c r="F340" s="45" t="n">
        <v>8</v>
      </c>
      <c r="G340" s="46" t="n">
        <v>0</v>
      </c>
      <c r="H340" s="44" t="n"/>
    </row>
    <row r="341">
      <c r="A341" s="43" t="n">
        <v>46290</v>
      </c>
      <c r="B341" s="44" t="inlineStr">
        <is>
          <t>Вечерняя</t>
        </is>
      </c>
      <c r="C341" s="44" t="inlineStr">
        <is>
          <t>Мехобработка</t>
        </is>
      </c>
      <c r="D341" s="44" t="inlineStr">
        <is>
          <t>CNC-02</t>
        </is>
      </c>
      <c r="E341" s="44" t="inlineStr">
        <is>
          <t>Смирнов А.В.</t>
        </is>
      </c>
      <c r="F341" s="45" t="n">
        <v>7.75</v>
      </c>
      <c r="G341" s="46" t="n">
        <v>15</v>
      </c>
      <c r="H341" s="44" t="inlineStr">
        <is>
          <t>Замена инструмента</t>
        </is>
      </c>
    </row>
    <row r="342">
      <c r="A342" s="43" t="n">
        <v>46290</v>
      </c>
      <c r="B342" s="44" t="inlineStr">
        <is>
          <t>Вечерняя</t>
        </is>
      </c>
      <c r="C342" s="44" t="inlineStr">
        <is>
          <t>Мехобработка</t>
        </is>
      </c>
      <c r="D342" s="44" t="inlineStr">
        <is>
          <t>CNC-03</t>
        </is>
      </c>
      <c r="E342" s="44" t="inlineStr">
        <is>
          <t>Попов П.Л.</t>
        </is>
      </c>
      <c r="F342" s="45" t="n">
        <v>7</v>
      </c>
      <c r="G342" s="46" t="n">
        <v>60</v>
      </c>
      <c r="H342" s="44" t="inlineStr">
        <is>
          <t>Переналадка</t>
        </is>
      </c>
    </row>
    <row r="343">
      <c r="A343" s="43" t="n">
        <v>46290</v>
      </c>
      <c r="B343" s="44" t="inlineStr">
        <is>
          <t>Вечерняя</t>
        </is>
      </c>
      <c r="C343" s="44" t="inlineStr">
        <is>
          <t>Сварка</t>
        </is>
      </c>
      <c r="D343" s="44" t="inlineStr">
        <is>
          <t>WLD-01</t>
        </is>
      </c>
      <c r="E343" s="44" t="inlineStr">
        <is>
          <t>Соколов К.А.</t>
        </is>
      </c>
      <c r="F343" s="45" t="n">
        <v>8</v>
      </c>
      <c r="G343" s="46" t="n">
        <v>0</v>
      </c>
      <c r="H343" s="44" t="n"/>
    </row>
    <row r="344">
      <c r="A344" s="43" t="n">
        <v>46290</v>
      </c>
      <c r="B344" s="44" t="inlineStr">
        <is>
          <t>Вечерняя</t>
        </is>
      </c>
      <c r="C344" s="44" t="inlineStr">
        <is>
          <t>Сварка</t>
        </is>
      </c>
      <c r="D344" s="44" t="inlineStr">
        <is>
          <t>WLD-02</t>
        </is>
      </c>
      <c r="E344" s="44" t="inlineStr">
        <is>
          <t>Попов В.Р.</t>
        </is>
      </c>
      <c r="F344" s="45" t="n">
        <v>7</v>
      </c>
      <c r="G344" s="46" t="n">
        <v>60</v>
      </c>
      <c r="H344" s="44" t="inlineStr">
        <is>
          <t>Не указана</t>
        </is>
      </c>
    </row>
    <row r="345">
      <c r="A345" s="43" t="n">
        <v>46290</v>
      </c>
      <c r="B345" s="44" t="inlineStr">
        <is>
          <t>Дневная</t>
        </is>
      </c>
      <c r="C345" s="44" t="inlineStr">
        <is>
          <t>Сборка</t>
        </is>
      </c>
      <c r="D345" s="44" t="inlineStr">
        <is>
          <t>ASM-01</t>
        </is>
      </c>
      <c r="E345" s="44" t="inlineStr">
        <is>
          <t>Волков О.Л.</t>
        </is>
      </c>
      <c r="F345" s="45" t="n">
        <v>7.08</v>
      </c>
      <c r="G345" s="46" t="n">
        <v>55</v>
      </c>
      <c r="H345" s="44" t="inlineStr">
        <is>
          <t>Переналадка</t>
        </is>
      </c>
    </row>
    <row r="346">
      <c r="A346" s="43" t="n">
        <v>46290</v>
      </c>
      <c r="B346" s="44" t="inlineStr">
        <is>
          <t>Дневная</t>
        </is>
      </c>
      <c r="C346" s="44" t="inlineStr">
        <is>
          <t>Сборка</t>
        </is>
      </c>
      <c r="D346" s="44" t="inlineStr">
        <is>
          <t>ASM-02</t>
        </is>
      </c>
      <c r="E346" s="44" t="inlineStr">
        <is>
          <t>Попов А.Л.</t>
        </is>
      </c>
      <c r="F346" s="45" t="n">
        <v>7.33</v>
      </c>
      <c r="G346" s="46" t="n">
        <v>40</v>
      </c>
      <c r="H346" s="44" t="inlineStr">
        <is>
          <t>Контроль качества</t>
        </is>
      </c>
    </row>
    <row r="347">
      <c r="A347" s="43" t="n">
        <v>46290</v>
      </c>
      <c r="B347" s="44" t="inlineStr">
        <is>
          <t>Дневная</t>
        </is>
      </c>
      <c r="C347" s="44" t="inlineStr">
        <is>
          <t>Мехобработка</t>
        </is>
      </c>
      <c r="D347" s="44" t="inlineStr">
        <is>
          <t>CNC-02</t>
        </is>
      </c>
      <c r="E347" s="44" t="inlineStr">
        <is>
          <t>Морозов Л.Д.</t>
        </is>
      </c>
      <c r="F347" s="45" t="n">
        <v>5.17</v>
      </c>
      <c r="G347" s="46" t="n">
        <v>170</v>
      </c>
      <c r="H347" s="44" t="inlineStr">
        <is>
          <t>Нет материала</t>
        </is>
      </c>
    </row>
    <row r="348">
      <c r="A348" s="43" t="n">
        <v>46290</v>
      </c>
      <c r="B348" s="44" t="inlineStr">
        <is>
          <t>Дневная</t>
        </is>
      </c>
      <c r="C348" s="44" t="inlineStr">
        <is>
          <t>Мехобработка</t>
        </is>
      </c>
      <c r="D348" s="44" t="inlineStr">
        <is>
          <t>CNC-03</t>
        </is>
      </c>
      <c r="E348" s="44" t="inlineStr">
        <is>
          <t>Николаев О.И.</t>
        </is>
      </c>
      <c r="F348" s="45" t="n">
        <v>6.42</v>
      </c>
      <c r="G348" s="46" t="n">
        <v>95</v>
      </c>
      <c r="H348" s="44" t="inlineStr">
        <is>
          <t>Нет материала</t>
        </is>
      </c>
    </row>
    <row r="349">
      <c r="A349" s="43" t="n">
        <v>46290</v>
      </c>
      <c r="B349" s="44" t="inlineStr">
        <is>
          <t>Дневная</t>
        </is>
      </c>
      <c r="C349" s="44" t="inlineStr">
        <is>
          <t>Покраска</t>
        </is>
      </c>
      <c r="D349" s="44" t="inlineStr">
        <is>
          <t>PNT-01</t>
        </is>
      </c>
      <c r="E349" s="44" t="inlineStr">
        <is>
          <t>Смирнов С.Г.</t>
        </is>
      </c>
      <c r="F349" s="45" t="n">
        <v>6.75</v>
      </c>
      <c r="G349" s="46" t="n">
        <v>75</v>
      </c>
      <c r="H349" s="44" t="inlineStr">
        <is>
          <t>Переналадка</t>
        </is>
      </c>
    </row>
    <row r="350">
      <c r="A350" s="43" t="n">
        <v>46290</v>
      </c>
      <c r="B350" s="44" t="inlineStr">
        <is>
          <t>Дневная</t>
        </is>
      </c>
      <c r="C350" s="44" t="inlineStr">
        <is>
          <t>Сварка</t>
        </is>
      </c>
      <c r="D350" s="44" t="inlineStr">
        <is>
          <t>WLD-01</t>
        </is>
      </c>
      <c r="E350" s="44" t="inlineStr">
        <is>
          <t>Фёдоров В.К.</t>
        </is>
      </c>
      <c r="F350" s="45" t="n">
        <v>8</v>
      </c>
      <c r="G350" s="46" t="n">
        <v>0</v>
      </c>
      <c r="H350" s="44" t="n"/>
    </row>
    <row r="351">
      <c r="A351" s="43" t="n">
        <v>46290</v>
      </c>
      <c r="B351" s="44" t="inlineStr">
        <is>
          <t>Дневная</t>
        </is>
      </c>
      <c r="C351" s="44" t="inlineStr">
        <is>
          <t>Сварка</t>
        </is>
      </c>
      <c r="D351" s="44" t="inlineStr">
        <is>
          <t>WLD-02</t>
        </is>
      </c>
      <c r="E351" s="44" t="inlineStr">
        <is>
          <t>Кузнецов П.Г.</t>
        </is>
      </c>
      <c r="F351" s="45" t="n">
        <v>8</v>
      </c>
      <c r="G351" s="46" t="n">
        <v>0</v>
      </c>
      <c r="H351" s="44" t="n"/>
    </row>
    <row r="352">
      <c r="A352" s="43" t="n">
        <v>46290</v>
      </c>
      <c r="B352" s="44" t="inlineStr">
        <is>
          <t>Ночная</t>
        </is>
      </c>
      <c r="C352" s="44" t="inlineStr">
        <is>
          <t>Мехобработка</t>
        </is>
      </c>
      <c r="D352" s="44" t="inlineStr">
        <is>
          <t>CNC-01</t>
        </is>
      </c>
      <c r="E352" s="44" t="inlineStr">
        <is>
          <t>Соколов Н.Г.</t>
        </is>
      </c>
      <c r="F352" s="45" t="n">
        <v>7.33</v>
      </c>
      <c r="G352" s="46" t="n">
        <v>40</v>
      </c>
      <c r="H352" s="44" t="inlineStr">
        <is>
          <t>Контроль качества</t>
        </is>
      </c>
    </row>
    <row r="353">
      <c r="A353" s="43" t="n">
        <v>46290</v>
      </c>
      <c r="B353" s="44" t="inlineStr">
        <is>
          <t>Ночная</t>
        </is>
      </c>
      <c r="C353" s="44" t="inlineStr">
        <is>
          <t>Мехобработка</t>
        </is>
      </c>
      <c r="D353" s="44" t="inlineStr">
        <is>
          <t>CNC-02</t>
        </is>
      </c>
      <c r="E353" s="44" t="inlineStr">
        <is>
          <t>Михайлов С.Л.</t>
        </is>
      </c>
      <c r="F353" s="45" t="n">
        <v>4.42</v>
      </c>
      <c r="G353" s="46" t="n">
        <v>215</v>
      </c>
      <c r="H353" s="44" t="inlineStr">
        <is>
          <t>Поломка</t>
        </is>
      </c>
    </row>
    <row r="354">
      <c r="A354" s="43" t="n">
        <v>46290</v>
      </c>
      <c r="B354" s="44" t="inlineStr">
        <is>
          <t>Ночная</t>
        </is>
      </c>
      <c r="C354" s="44" t="inlineStr">
        <is>
          <t>Мехобработка</t>
        </is>
      </c>
      <c r="D354" s="44" t="inlineStr">
        <is>
          <t>CNC-03</t>
        </is>
      </c>
      <c r="E354" s="44" t="inlineStr">
        <is>
          <t>Иванов Е.Р.</t>
        </is>
      </c>
      <c r="F354" s="45" t="n">
        <v>6.92</v>
      </c>
      <c r="G354" s="46" t="n">
        <v>65</v>
      </c>
      <c r="H354" s="44" t="inlineStr">
        <is>
          <t>Не указана</t>
        </is>
      </c>
    </row>
    <row r="355">
      <c r="A355" s="43" t="n">
        <v>46291</v>
      </c>
      <c r="B355" s="44" t="inlineStr">
        <is>
          <t>Дневная</t>
        </is>
      </c>
      <c r="C355" s="44" t="inlineStr">
        <is>
          <t>Сборка</t>
        </is>
      </c>
      <c r="D355" s="44" t="inlineStr">
        <is>
          <t>ASM-01</t>
        </is>
      </c>
      <c r="E355" s="44" t="inlineStr">
        <is>
          <t>Волков О.Л.</t>
        </is>
      </c>
      <c r="F355" s="45" t="n">
        <v>3</v>
      </c>
      <c r="G355" s="46" t="n">
        <v>300</v>
      </c>
      <c r="H355" s="44" t="inlineStr">
        <is>
          <t>Поломка</t>
        </is>
      </c>
    </row>
    <row r="356">
      <c r="A356" s="43" t="n">
        <v>46291</v>
      </c>
      <c r="B356" s="44" t="inlineStr">
        <is>
          <t>Дневная</t>
        </is>
      </c>
      <c r="C356" s="44" t="inlineStr">
        <is>
          <t>Сборка</t>
        </is>
      </c>
      <c r="D356" s="44" t="inlineStr">
        <is>
          <t>ASM-02</t>
        </is>
      </c>
      <c r="E356" s="44" t="inlineStr">
        <is>
          <t>Попов А.Л.</t>
        </is>
      </c>
      <c r="F356" s="45" t="n">
        <v>7.33</v>
      </c>
      <c r="G356" s="46" t="n">
        <v>40</v>
      </c>
      <c r="H356" s="44" t="inlineStr">
        <is>
          <t>Замена инструмента</t>
        </is>
      </c>
    </row>
    <row r="357">
      <c r="A357" s="43" t="n">
        <v>46291</v>
      </c>
      <c r="B357" s="44" t="inlineStr">
        <is>
          <t>Дневная</t>
        </is>
      </c>
      <c r="C357" s="44" t="inlineStr">
        <is>
          <t>Мехобработка</t>
        </is>
      </c>
      <c r="D357" s="44" t="inlineStr">
        <is>
          <t>CNC-01</t>
        </is>
      </c>
      <c r="E357" s="44" t="inlineStr">
        <is>
          <t>Михайлов К.Д.</t>
        </is>
      </c>
      <c r="F357" s="45" t="n">
        <v>6.17</v>
      </c>
      <c r="G357" s="46" t="n">
        <v>110</v>
      </c>
      <c r="H357" s="44" t="inlineStr">
        <is>
          <t>Переналадка</t>
        </is>
      </c>
    </row>
    <row r="358">
      <c r="A358" s="43" t="n">
        <v>46291</v>
      </c>
      <c r="B358" s="44" t="inlineStr">
        <is>
          <t>Дневная</t>
        </is>
      </c>
      <c r="C358" s="44" t="inlineStr">
        <is>
          <t>Мехобработка</t>
        </is>
      </c>
      <c r="D358" s="44" t="inlineStr">
        <is>
          <t>CNC-02</t>
        </is>
      </c>
      <c r="E358" s="44" t="inlineStr">
        <is>
          <t>Морозов Л.Д.</t>
        </is>
      </c>
      <c r="F358" s="45" t="n">
        <v>8</v>
      </c>
      <c r="G358" s="46" t="n">
        <v>0</v>
      </c>
      <c r="H358" s="44" t="n"/>
    </row>
    <row r="359">
      <c r="A359" s="43" t="n">
        <v>46291</v>
      </c>
      <c r="B359" s="44" t="inlineStr">
        <is>
          <t>Дневная</t>
        </is>
      </c>
      <c r="C359" s="44" t="inlineStr">
        <is>
          <t>Мехобработка</t>
        </is>
      </c>
      <c r="D359" s="44" t="inlineStr">
        <is>
          <t>CNC-03</t>
        </is>
      </c>
      <c r="E359" s="44" t="inlineStr">
        <is>
          <t>Николаев О.И.</t>
        </is>
      </c>
      <c r="F359" s="45" t="n">
        <v>8</v>
      </c>
      <c r="G359" s="46" t="n">
        <v>0</v>
      </c>
      <c r="H359" s="44" t="n"/>
    </row>
    <row r="360">
      <c r="A360" s="43" t="n">
        <v>46291</v>
      </c>
      <c r="B360" s="44" t="inlineStr">
        <is>
          <t>Дневная</t>
        </is>
      </c>
      <c r="C360" s="44" t="inlineStr">
        <is>
          <t>Покраска</t>
        </is>
      </c>
      <c r="D360" s="44" t="inlineStr">
        <is>
          <t>PNT-01</t>
        </is>
      </c>
      <c r="E360" s="44" t="inlineStr">
        <is>
          <t>Смирнов С.Г.</t>
        </is>
      </c>
      <c r="F360" s="45" t="n">
        <v>8</v>
      </c>
      <c r="G360" s="46" t="n">
        <v>0</v>
      </c>
      <c r="H360" s="44" t="n"/>
    </row>
    <row r="361">
      <c r="A361" s="43" t="n">
        <v>46291</v>
      </c>
      <c r="B361" s="44" t="inlineStr">
        <is>
          <t>Дневная</t>
        </is>
      </c>
      <c r="C361" s="44" t="inlineStr">
        <is>
          <t>Сварка</t>
        </is>
      </c>
      <c r="D361" s="44" t="inlineStr">
        <is>
          <t>WLD-01</t>
        </is>
      </c>
      <c r="E361" s="44" t="inlineStr">
        <is>
          <t>Фёдоров В.К.</t>
        </is>
      </c>
      <c r="F361" s="45" t="n">
        <v>7.25</v>
      </c>
      <c r="G361" s="46" t="n">
        <v>45</v>
      </c>
      <c r="H361" s="44" t="inlineStr">
        <is>
          <t>Переналадка</t>
        </is>
      </c>
    </row>
    <row r="362">
      <c r="A362" s="43" t="n">
        <v>46291</v>
      </c>
      <c r="B362" s="44" t="inlineStr">
        <is>
          <t>Дневная</t>
        </is>
      </c>
      <c r="C362" s="44" t="inlineStr">
        <is>
          <t>Сварка</t>
        </is>
      </c>
      <c r="D362" s="44" t="inlineStr">
        <is>
          <t>WLD-02</t>
        </is>
      </c>
      <c r="E362" s="44" t="inlineStr">
        <is>
          <t>Кузнецов П.Г.</t>
        </is>
      </c>
      <c r="F362" s="45" t="n">
        <v>8</v>
      </c>
      <c r="G362" s="46" t="n">
        <v>0</v>
      </c>
      <c r="H362" s="44" t="n"/>
    </row>
    <row r="363">
      <c r="A363" s="43" t="n">
        <v>46293</v>
      </c>
      <c r="B363" s="44" t="inlineStr">
        <is>
          <t>Вечерняя</t>
        </is>
      </c>
      <c r="C363" s="44" t="inlineStr">
        <is>
          <t>Сборка</t>
        </is>
      </c>
      <c r="D363" s="44" t="inlineStr">
        <is>
          <t>ASM-01</t>
        </is>
      </c>
      <c r="E363" s="44" t="inlineStr">
        <is>
          <t>Кузнецов Б.К.</t>
        </is>
      </c>
      <c r="F363" s="45" t="n">
        <v>8</v>
      </c>
      <c r="G363" s="46" t="n">
        <v>0</v>
      </c>
      <c r="H363" s="44" t="n"/>
    </row>
    <row r="364">
      <c r="A364" s="43" t="n">
        <v>46293</v>
      </c>
      <c r="B364" s="44" t="inlineStr">
        <is>
          <t>Вечерняя</t>
        </is>
      </c>
      <c r="C364" s="44" t="inlineStr">
        <is>
          <t>Сборка</t>
        </is>
      </c>
      <c r="D364" s="44" t="inlineStr">
        <is>
          <t>ASM-02</t>
        </is>
      </c>
      <c r="E364" s="44" t="inlineStr">
        <is>
          <t>Козлов И.Р.</t>
        </is>
      </c>
      <c r="F364" s="45" t="n">
        <v>7.42</v>
      </c>
      <c r="G364" s="46" t="n">
        <v>35</v>
      </c>
      <c r="H364" s="44" t="inlineStr">
        <is>
          <t>Контроль качества</t>
        </is>
      </c>
    </row>
    <row r="365">
      <c r="A365" s="43" t="n">
        <v>46293</v>
      </c>
      <c r="B365" s="44" t="inlineStr">
        <is>
          <t>Вечерняя</t>
        </is>
      </c>
      <c r="C365" s="44" t="inlineStr">
        <is>
          <t>Мехобработка</t>
        </is>
      </c>
      <c r="D365" s="44" t="inlineStr">
        <is>
          <t>CNC-01</t>
        </is>
      </c>
      <c r="E365" s="44" t="inlineStr">
        <is>
          <t>Алексеев В.М.</t>
        </is>
      </c>
      <c r="F365" s="45" t="n">
        <v>6.83</v>
      </c>
      <c r="G365" s="46" t="n">
        <v>70</v>
      </c>
      <c r="H365" s="44" t="inlineStr">
        <is>
          <t>Переналадка</t>
        </is>
      </c>
    </row>
    <row r="366">
      <c r="A366" s="43" t="n">
        <v>46293</v>
      </c>
      <c r="B366" s="44" t="inlineStr">
        <is>
          <t>Вечерняя</t>
        </is>
      </c>
      <c r="C366" s="44" t="inlineStr">
        <is>
          <t>Мехобработка</t>
        </is>
      </c>
      <c r="D366" s="44" t="inlineStr">
        <is>
          <t>CNC-02</t>
        </is>
      </c>
      <c r="E366" s="44" t="inlineStr">
        <is>
          <t>Смирнов А.В.</t>
        </is>
      </c>
      <c r="F366" s="45" t="n">
        <v>7.42</v>
      </c>
      <c r="G366" s="46" t="n">
        <v>35</v>
      </c>
      <c r="H366" s="44" t="inlineStr">
        <is>
          <t>Контроль качества</t>
        </is>
      </c>
    </row>
    <row r="367">
      <c r="A367" s="43" t="n">
        <v>46293</v>
      </c>
      <c r="B367" s="44" t="inlineStr">
        <is>
          <t>Вечерняя</t>
        </is>
      </c>
      <c r="C367" s="44" t="inlineStr">
        <is>
          <t>Мехобработка</t>
        </is>
      </c>
      <c r="D367" s="44" t="inlineStr">
        <is>
          <t>CNC-03</t>
        </is>
      </c>
      <c r="E367" s="44" t="inlineStr">
        <is>
          <t>Попов П.Л.</t>
        </is>
      </c>
      <c r="F367" s="45" t="n">
        <v>5.42</v>
      </c>
      <c r="G367" s="46" t="n">
        <v>155</v>
      </c>
      <c r="H367" s="44" t="inlineStr">
        <is>
          <t>Плановое ТО</t>
        </is>
      </c>
    </row>
    <row r="368">
      <c r="A368" s="43" t="n">
        <v>46293</v>
      </c>
      <c r="B368" s="44" t="inlineStr">
        <is>
          <t>Вечерняя</t>
        </is>
      </c>
      <c r="C368" s="44" t="inlineStr">
        <is>
          <t>Сварка</t>
        </is>
      </c>
      <c r="D368" s="44" t="inlineStr">
        <is>
          <t>WLD-01</t>
        </is>
      </c>
      <c r="E368" s="44" t="inlineStr">
        <is>
          <t>Соколов К.А.</t>
        </is>
      </c>
      <c r="F368" s="45" t="n">
        <v>7.33</v>
      </c>
      <c r="G368" s="46" t="n">
        <v>40</v>
      </c>
      <c r="H368" s="44" t="inlineStr">
        <is>
          <t>Переналадка</t>
        </is>
      </c>
    </row>
    <row r="369">
      <c r="A369" s="43" t="n">
        <v>46293</v>
      </c>
      <c r="B369" s="44" t="inlineStr">
        <is>
          <t>Вечерняя</t>
        </is>
      </c>
      <c r="C369" s="44" t="inlineStr">
        <is>
          <t>Сварка</t>
        </is>
      </c>
      <c r="D369" s="44" t="inlineStr">
        <is>
          <t>WLD-02</t>
        </is>
      </c>
      <c r="E369" s="44" t="inlineStr">
        <is>
          <t>Попов В.Р.</t>
        </is>
      </c>
      <c r="F369" s="45" t="n">
        <v>8</v>
      </c>
      <c r="G369" s="46" t="n">
        <v>0</v>
      </c>
      <c r="H369" s="44" t="n"/>
    </row>
    <row r="370">
      <c r="A370" s="43" t="n">
        <v>46293</v>
      </c>
      <c r="B370" s="44" t="inlineStr">
        <is>
          <t>Дневная</t>
        </is>
      </c>
      <c r="C370" s="44" t="inlineStr">
        <is>
          <t>Сборка</t>
        </is>
      </c>
      <c r="D370" s="44" t="inlineStr">
        <is>
          <t>ASM-01</t>
        </is>
      </c>
      <c r="E370" s="44" t="inlineStr">
        <is>
          <t>Волков О.Л.</t>
        </is>
      </c>
      <c r="F370" s="45" t="n">
        <v>5.25</v>
      </c>
      <c r="G370" s="46" t="n">
        <v>165</v>
      </c>
      <c r="H370" s="44" t="inlineStr">
        <is>
          <t>Нет материала</t>
        </is>
      </c>
    </row>
    <row r="371">
      <c r="A371" s="43" t="n">
        <v>46293</v>
      </c>
      <c r="B371" s="44" t="inlineStr">
        <is>
          <t>Дневная</t>
        </is>
      </c>
      <c r="C371" s="44" t="inlineStr">
        <is>
          <t>Сборка</t>
        </is>
      </c>
      <c r="D371" s="44" t="inlineStr">
        <is>
          <t>ASM-02</t>
        </is>
      </c>
      <c r="E371" s="44" t="inlineStr">
        <is>
          <t>Попов А.Л.</t>
        </is>
      </c>
      <c r="F371" s="45" t="n">
        <v>8</v>
      </c>
      <c r="G371" s="46" t="n">
        <v>0</v>
      </c>
      <c r="H371" s="44" t="n"/>
    </row>
    <row r="372">
      <c r="A372" s="43" t="n">
        <v>46293</v>
      </c>
      <c r="B372" s="44" t="inlineStr">
        <is>
          <t>Дневная</t>
        </is>
      </c>
      <c r="C372" s="44" t="inlineStr">
        <is>
          <t>Мехобработка</t>
        </is>
      </c>
      <c r="D372" s="44" t="inlineStr">
        <is>
          <t>CNC-01</t>
        </is>
      </c>
      <c r="E372" s="44" t="inlineStr">
        <is>
          <t>Михайлов К.Д.</t>
        </is>
      </c>
      <c r="F372" s="45" t="n">
        <v>6.75</v>
      </c>
      <c r="G372" s="46" t="n">
        <v>75</v>
      </c>
      <c r="H372" s="44" t="inlineStr">
        <is>
          <t>Переналадка</t>
        </is>
      </c>
    </row>
    <row r="373">
      <c r="A373" s="43" t="n">
        <v>46293</v>
      </c>
      <c r="B373" s="44" t="inlineStr">
        <is>
          <t>Дневная</t>
        </is>
      </c>
      <c r="C373" s="44" t="inlineStr">
        <is>
          <t>Мехобработка</t>
        </is>
      </c>
      <c r="D373" s="44" t="inlineStr">
        <is>
          <t>CNC-02</t>
        </is>
      </c>
      <c r="E373" s="44" t="inlineStr">
        <is>
          <t>Морозов Л.Д.</t>
        </is>
      </c>
      <c r="F373" s="45" t="n">
        <v>7.42</v>
      </c>
      <c r="G373" s="46" t="n">
        <v>35</v>
      </c>
      <c r="H373" s="44" t="inlineStr">
        <is>
          <t>Переналадка</t>
        </is>
      </c>
    </row>
    <row r="374">
      <c r="A374" s="43" t="n">
        <v>46293</v>
      </c>
      <c r="B374" s="44" t="inlineStr">
        <is>
          <t>Дневная</t>
        </is>
      </c>
      <c r="C374" s="44" t="inlineStr">
        <is>
          <t>Мехобработка</t>
        </is>
      </c>
      <c r="D374" s="44" t="inlineStr">
        <is>
          <t>CNC-03</t>
        </is>
      </c>
      <c r="E374" s="44" t="inlineStr">
        <is>
          <t>Николаев О.И.</t>
        </is>
      </c>
      <c r="F374" s="45" t="n">
        <v>8</v>
      </c>
      <c r="G374" s="46" t="n">
        <v>0</v>
      </c>
      <c r="H374" s="44" t="n"/>
    </row>
    <row r="375">
      <c r="A375" s="43" t="n">
        <v>46293</v>
      </c>
      <c r="B375" s="44" t="inlineStr">
        <is>
          <t>Дневная</t>
        </is>
      </c>
      <c r="C375" s="44" t="inlineStr">
        <is>
          <t>Покраска</t>
        </is>
      </c>
      <c r="D375" s="44" t="inlineStr">
        <is>
          <t>PNT-01</t>
        </is>
      </c>
      <c r="E375" s="44" t="inlineStr">
        <is>
          <t>Смирнов С.Г.</t>
        </is>
      </c>
      <c r="F375" s="45" t="n">
        <v>8</v>
      </c>
      <c r="G375" s="46" t="n">
        <v>0</v>
      </c>
      <c r="H375" s="44" t="n"/>
    </row>
    <row r="376">
      <c r="A376" s="43" t="n">
        <v>46293</v>
      </c>
      <c r="B376" s="44" t="inlineStr">
        <is>
          <t>Дневная</t>
        </is>
      </c>
      <c r="C376" s="44" t="inlineStr">
        <is>
          <t>Сварка</t>
        </is>
      </c>
      <c r="D376" s="44" t="inlineStr">
        <is>
          <t>WLD-01</t>
        </is>
      </c>
      <c r="E376" s="44" t="inlineStr">
        <is>
          <t>Фёдоров В.К.</t>
        </is>
      </c>
      <c r="F376" s="45" t="n">
        <v>7</v>
      </c>
      <c r="G376" s="46" t="n">
        <v>60</v>
      </c>
      <c r="H376" s="44" t="inlineStr">
        <is>
          <t>Переналадка</t>
        </is>
      </c>
    </row>
    <row r="377">
      <c r="A377" s="43" t="n">
        <v>46293</v>
      </c>
      <c r="B377" s="44" t="inlineStr">
        <is>
          <t>Дневная</t>
        </is>
      </c>
      <c r="C377" s="44" t="inlineStr">
        <is>
          <t>Сварка</t>
        </is>
      </c>
      <c r="D377" s="44" t="inlineStr">
        <is>
          <t>WLD-02</t>
        </is>
      </c>
      <c r="E377" s="44" t="inlineStr">
        <is>
          <t>Кузнецов П.Г.</t>
        </is>
      </c>
      <c r="F377" s="45" t="n">
        <v>8</v>
      </c>
      <c r="G377" s="46" t="n">
        <v>0</v>
      </c>
      <c r="H377" s="44" t="n"/>
    </row>
    <row r="378">
      <c r="A378" s="43" t="n">
        <v>46293</v>
      </c>
      <c r="B378" s="44" t="inlineStr">
        <is>
          <t>Ночная</t>
        </is>
      </c>
      <c r="C378" s="44" t="inlineStr">
        <is>
          <t>Мехобработка</t>
        </is>
      </c>
      <c r="D378" s="44" t="inlineStr">
        <is>
          <t>CNC-01</t>
        </is>
      </c>
      <c r="E378" s="44" t="inlineStr">
        <is>
          <t>Соколов Н.Г.</t>
        </is>
      </c>
      <c r="F378" s="45" t="n">
        <v>5.75</v>
      </c>
      <c r="G378" s="46" t="n">
        <v>135</v>
      </c>
      <c r="H378" s="44" t="inlineStr">
        <is>
          <t>Нет материала</t>
        </is>
      </c>
    </row>
    <row r="379">
      <c r="A379" s="43" t="n">
        <v>46293</v>
      </c>
      <c r="B379" s="44" t="inlineStr">
        <is>
          <t>Ночная</t>
        </is>
      </c>
      <c r="C379" s="44" t="inlineStr">
        <is>
          <t>Мехобработка</t>
        </is>
      </c>
      <c r="D379" s="44" t="inlineStr">
        <is>
          <t>CNC-02</t>
        </is>
      </c>
      <c r="E379" s="44" t="inlineStr">
        <is>
          <t>Михайлов С.Л.</t>
        </is>
      </c>
      <c r="F379" s="45" t="n">
        <v>8</v>
      </c>
      <c r="G379" s="46" t="n">
        <v>0</v>
      </c>
      <c r="H379" s="44" t="n"/>
    </row>
    <row r="380">
      <c r="A380" s="43" t="n">
        <v>46293</v>
      </c>
      <c r="B380" s="44" t="inlineStr">
        <is>
          <t>Ночная</t>
        </is>
      </c>
      <c r="C380" s="44" t="inlineStr">
        <is>
          <t>Мехобработка</t>
        </is>
      </c>
      <c r="D380" s="44" t="inlineStr">
        <is>
          <t>CNC-03</t>
        </is>
      </c>
      <c r="E380" s="44" t="inlineStr">
        <is>
          <t>Иванов Е.Р.</t>
        </is>
      </c>
      <c r="F380" s="45" t="n">
        <v>8</v>
      </c>
      <c r="G380" s="46" t="n">
        <v>0</v>
      </c>
      <c r="H380" s="44" t="n"/>
    </row>
    <row r="381">
      <c r="A381" s="43" t="n">
        <v>46294</v>
      </c>
      <c r="B381" s="44" t="inlineStr">
        <is>
          <t>Вечерняя</t>
        </is>
      </c>
      <c r="C381" s="44" t="inlineStr">
        <is>
          <t>Сборка</t>
        </is>
      </c>
      <c r="D381" s="44" t="inlineStr">
        <is>
          <t>ASM-01</t>
        </is>
      </c>
      <c r="E381" s="44" t="inlineStr">
        <is>
          <t>Кузнецов Б.К.</t>
        </is>
      </c>
      <c r="F381" s="45" t="n">
        <v>8</v>
      </c>
      <c r="G381" s="46" t="n">
        <v>0</v>
      </c>
      <c r="H381" s="44" t="n"/>
    </row>
    <row r="382">
      <c r="A382" s="43" t="n">
        <v>46294</v>
      </c>
      <c r="B382" s="44" t="inlineStr">
        <is>
          <t>Вечерняя</t>
        </is>
      </c>
      <c r="C382" s="44" t="inlineStr">
        <is>
          <t>Сборка</t>
        </is>
      </c>
      <c r="D382" s="44" t="inlineStr">
        <is>
          <t>ASM-02</t>
        </is>
      </c>
      <c r="E382" s="44" t="inlineStr">
        <is>
          <t>Козлов И.Р.</t>
        </is>
      </c>
      <c r="F382" s="45" t="n">
        <v>2.67</v>
      </c>
      <c r="G382" s="46" t="n">
        <v>320</v>
      </c>
      <c r="H382" s="44" t="inlineStr">
        <is>
          <t>Поломка</t>
        </is>
      </c>
    </row>
    <row r="383">
      <c r="A383" s="43" t="n">
        <v>46294</v>
      </c>
      <c r="B383" s="44" t="inlineStr">
        <is>
          <t>Вечерняя</t>
        </is>
      </c>
      <c r="C383" s="44" t="inlineStr">
        <is>
          <t>Мехобработка</t>
        </is>
      </c>
      <c r="D383" s="44" t="inlineStr">
        <is>
          <t>CNC-01</t>
        </is>
      </c>
      <c r="E383" s="44" t="inlineStr">
        <is>
          <t>Алексеев В.М.</t>
        </is>
      </c>
      <c r="F383" s="45" t="n">
        <v>8</v>
      </c>
      <c r="G383" s="46" t="n">
        <v>0</v>
      </c>
      <c r="H383" s="44" t="n"/>
    </row>
    <row r="384">
      <c r="A384" s="43" t="n">
        <v>46294</v>
      </c>
      <c r="B384" s="44" t="inlineStr">
        <is>
          <t>Вечерняя</t>
        </is>
      </c>
      <c r="C384" s="44" t="inlineStr">
        <is>
          <t>Мехобработка</t>
        </is>
      </c>
      <c r="D384" s="44" t="inlineStr">
        <is>
          <t>CNC-02</t>
        </is>
      </c>
      <c r="E384" s="44" t="inlineStr">
        <is>
          <t>Смирнов А.В.</t>
        </is>
      </c>
      <c r="F384" s="45" t="n">
        <v>7.17</v>
      </c>
      <c r="G384" s="46" t="n">
        <v>50</v>
      </c>
      <c r="H384" s="44" t="inlineStr">
        <is>
          <t>Переналадка</t>
        </is>
      </c>
    </row>
    <row r="385">
      <c r="A385" s="43" t="n">
        <v>46294</v>
      </c>
      <c r="B385" s="44" t="inlineStr">
        <is>
          <t>Вечерняя</t>
        </is>
      </c>
      <c r="C385" s="44" t="inlineStr">
        <is>
          <t>Мехобработка</t>
        </is>
      </c>
      <c r="D385" s="44" t="inlineStr">
        <is>
          <t>CNC-03</t>
        </is>
      </c>
      <c r="E385" s="44" t="inlineStr">
        <is>
          <t>Попов П.Л.</t>
        </is>
      </c>
      <c r="F385" s="45" t="n">
        <v>8</v>
      </c>
      <c r="G385" s="46" t="n">
        <v>0</v>
      </c>
      <c r="H385" s="44" t="n"/>
    </row>
    <row r="386">
      <c r="A386" s="43" t="n">
        <v>46294</v>
      </c>
      <c r="B386" s="44" t="inlineStr">
        <is>
          <t>Вечерняя</t>
        </is>
      </c>
      <c r="C386" s="44" t="inlineStr">
        <is>
          <t>Сварка</t>
        </is>
      </c>
      <c r="D386" s="44" t="inlineStr">
        <is>
          <t>WLD-01</t>
        </is>
      </c>
      <c r="E386" s="44" t="inlineStr">
        <is>
          <t>Соколов К.А.</t>
        </is>
      </c>
      <c r="F386" s="45" t="n">
        <v>8</v>
      </c>
      <c r="G386" s="46" t="n">
        <v>0</v>
      </c>
      <c r="H386" s="44" t="n"/>
    </row>
    <row r="387">
      <c r="A387" s="43" t="n">
        <v>46294</v>
      </c>
      <c r="B387" s="44" t="inlineStr">
        <is>
          <t>Вечерняя</t>
        </is>
      </c>
      <c r="C387" s="44" t="inlineStr">
        <is>
          <t>Сварка</t>
        </is>
      </c>
      <c r="D387" s="44" t="inlineStr">
        <is>
          <t>WLD-02</t>
        </is>
      </c>
      <c r="E387" s="44" t="inlineStr">
        <is>
          <t>Попов В.Р.</t>
        </is>
      </c>
      <c r="F387" s="45" t="n">
        <v>6.17</v>
      </c>
      <c r="G387" s="46" t="n">
        <v>110</v>
      </c>
      <c r="H387" s="44" t="inlineStr">
        <is>
          <t>Плановое ТО</t>
        </is>
      </c>
    </row>
    <row r="388">
      <c r="A388" s="43" t="n">
        <v>46294</v>
      </c>
      <c r="B388" s="44" t="inlineStr">
        <is>
          <t>Дневная</t>
        </is>
      </c>
      <c r="C388" s="44" t="inlineStr">
        <is>
          <t>Сборка</t>
        </is>
      </c>
      <c r="D388" s="44" t="inlineStr">
        <is>
          <t>ASM-01</t>
        </is>
      </c>
      <c r="E388" s="44" t="inlineStr">
        <is>
          <t>Волков О.Л.</t>
        </is>
      </c>
      <c r="F388" s="45" t="n">
        <v>6.75</v>
      </c>
      <c r="G388" s="46" t="n">
        <v>75</v>
      </c>
      <c r="H388" s="44" t="inlineStr">
        <is>
          <t>Переналадка</t>
        </is>
      </c>
    </row>
    <row r="389">
      <c r="A389" s="43" t="n">
        <v>46294</v>
      </c>
      <c r="B389" s="44" t="inlineStr">
        <is>
          <t>Дневная</t>
        </is>
      </c>
      <c r="C389" s="44" t="inlineStr">
        <is>
          <t>Сборка</t>
        </is>
      </c>
      <c r="D389" s="44" t="inlineStr">
        <is>
          <t>ASM-02</t>
        </is>
      </c>
      <c r="E389" s="44" t="inlineStr">
        <is>
          <t>Попов А.Л.</t>
        </is>
      </c>
      <c r="F389" s="45" t="n">
        <v>8</v>
      </c>
      <c r="G389" s="46" t="n">
        <v>0</v>
      </c>
      <c r="H389" s="44" t="n"/>
    </row>
    <row r="390">
      <c r="A390" s="43" t="n">
        <v>46294</v>
      </c>
      <c r="B390" s="44" t="inlineStr">
        <is>
          <t>Дневная</t>
        </is>
      </c>
      <c r="C390" s="44" t="inlineStr">
        <is>
          <t>Мехобработка</t>
        </is>
      </c>
      <c r="D390" s="44" t="inlineStr">
        <is>
          <t>CNC-02</t>
        </is>
      </c>
      <c r="E390" s="44" t="inlineStr">
        <is>
          <t>Морозов Л.Д.</t>
        </is>
      </c>
      <c r="F390" s="45" t="n">
        <v>7.08</v>
      </c>
      <c r="G390" s="46" t="n">
        <v>55</v>
      </c>
      <c r="H390" s="44" t="inlineStr">
        <is>
          <t>Переналадка</t>
        </is>
      </c>
    </row>
    <row r="391">
      <c r="A391" s="43" t="n">
        <v>46294</v>
      </c>
      <c r="B391" s="44" t="inlineStr">
        <is>
          <t>Дневная</t>
        </is>
      </c>
      <c r="C391" s="44" t="inlineStr">
        <is>
          <t>Мехобработка</t>
        </is>
      </c>
      <c r="D391" s="44" t="inlineStr">
        <is>
          <t>CNC-03</t>
        </is>
      </c>
      <c r="E391" s="44" t="inlineStr">
        <is>
          <t>Николаев О.И.</t>
        </is>
      </c>
      <c r="F391" s="45" t="n">
        <v>8</v>
      </c>
      <c r="G391" s="46" t="n">
        <v>0</v>
      </c>
      <c r="H391" s="44" t="n"/>
    </row>
    <row r="392">
      <c r="A392" s="43" t="n">
        <v>46294</v>
      </c>
      <c r="B392" s="44" t="inlineStr">
        <is>
          <t>Дневная</t>
        </is>
      </c>
      <c r="C392" s="44" t="inlineStr">
        <is>
          <t>Покраска</t>
        </is>
      </c>
      <c r="D392" s="44" t="inlineStr">
        <is>
          <t>PNT-01</t>
        </is>
      </c>
      <c r="E392" s="44" t="inlineStr">
        <is>
          <t>Смирнов С.Г.</t>
        </is>
      </c>
      <c r="F392" s="45" t="n">
        <v>7.42</v>
      </c>
      <c r="G392" s="46" t="n">
        <v>35</v>
      </c>
      <c r="H392" s="44" t="inlineStr">
        <is>
          <t>Переналадка</t>
        </is>
      </c>
    </row>
    <row r="393">
      <c r="A393" s="43" t="n">
        <v>46294</v>
      </c>
      <c r="B393" s="44" t="inlineStr">
        <is>
          <t>Дневная</t>
        </is>
      </c>
      <c r="C393" s="44" t="inlineStr">
        <is>
          <t>Сварка</t>
        </is>
      </c>
      <c r="D393" s="44" t="inlineStr">
        <is>
          <t>WLD-01</t>
        </is>
      </c>
      <c r="E393" s="44" t="inlineStr">
        <is>
          <t>Фёдоров В.К.</t>
        </is>
      </c>
      <c r="F393" s="45" t="n">
        <v>7.17</v>
      </c>
      <c r="G393" s="46" t="n">
        <v>50</v>
      </c>
      <c r="H393" s="44" t="inlineStr">
        <is>
          <t>Замена инструмента</t>
        </is>
      </c>
    </row>
    <row r="394">
      <c r="A394" s="43" t="n">
        <v>46294</v>
      </c>
      <c r="B394" s="44" t="inlineStr">
        <is>
          <t>Дневная</t>
        </is>
      </c>
      <c r="C394" s="44" t="inlineStr">
        <is>
          <t>Сварка</t>
        </is>
      </c>
      <c r="D394" s="44" t="inlineStr">
        <is>
          <t>WLD-02</t>
        </is>
      </c>
      <c r="E394" s="44" t="inlineStr">
        <is>
          <t>Кузнецов П.Г.</t>
        </is>
      </c>
      <c r="F394" s="45" t="n">
        <v>8</v>
      </c>
      <c r="G394" s="46" t="n">
        <v>0</v>
      </c>
      <c r="H394" s="44" t="n"/>
    </row>
    <row r="395">
      <c r="A395" s="43" t="n">
        <v>46294</v>
      </c>
      <c r="B395" s="44" t="inlineStr">
        <is>
          <t>Ночная</t>
        </is>
      </c>
      <c r="C395" s="44" t="inlineStr">
        <is>
          <t>Мехобработка</t>
        </is>
      </c>
      <c r="D395" s="44" t="inlineStr">
        <is>
          <t>CNC-01</t>
        </is>
      </c>
      <c r="E395" s="44" t="inlineStr">
        <is>
          <t>Соколов Н.Г.</t>
        </is>
      </c>
      <c r="F395" s="45" t="n">
        <v>6.08</v>
      </c>
      <c r="G395" s="46" t="n">
        <v>115</v>
      </c>
      <c r="H395" s="44" t="inlineStr">
        <is>
          <t>Переналадка</t>
        </is>
      </c>
    </row>
    <row r="396">
      <c r="A396" s="43" t="n">
        <v>46294</v>
      </c>
      <c r="B396" s="44" t="inlineStr">
        <is>
          <t>Ночная</t>
        </is>
      </c>
      <c r="C396" s="44" t="inlineStr">
        <is>
          <t>Мехобработка</t>
        </is>
      </c>
      <c r="D396" s="44" t="inlineStr">
        <is>
          <t>CNC-02</t>
        </is>
      </c>
      <c r="E396" s="44" t="inlineStr">
        <is>
          <t>Михайлов С.Л.</t>
        </is>
      </c>
      <c r="F396" s="45" t="n">
        <v>5.92</v>
      </c>
      <c r="G396" s="46" t="n">
        <v>125</v>
      </c>
      <c r="H396" s="44" t="inlineStr">
        <is>
          <t>Нет материала</t>
        </is>
      </c>
    </row>
    <row r="397">
      <c r="A397" s="43" t="n">
        <v>46294</v>
      </c>
      <c r="B397" s="44" t="inlineStr">
        <is>
          <t>Ночная</t>
        </is>
      </c>
      <c r="C397" s="44" t="inlineStr">
        <is>
          <t>Мехобработка</t>
        </is>
      </c>
      <c r="D397" s="44" t="inlineStr">
        <is>
          <t>CNC-03</t>
        </is>
      </c>
      <c r="E397" s="44" t="inlineStr">
        <is>
          <t>Иванов Е.Р.</t>
        </is>
      </c>
      <c r="F397" s="45" t="n">
        <v>8</v>
      </c>
      <c r="G397" s="46" t="n">
        <v>0</v>
      </c>
      <c r="H397" s="44" t="n"/>
    </row>
    <row r="398">
      <c r="A398" s="43" t="n">
        <v>46295</v>
      </c>
      <c r="B398" s="44" t="inlineStr">
        <is>
          <t>Вечерняя</t>
        </is>
      </c>
      <c r="C398" s="44" t="inlineStr">
        <is>
          <t>Сборка</t>
        </is>
      </c>
      <c r="D398" s="44" t="inlineStr">
        <is>
          <t>ASM-02</t>
        </is>
      </c>
      <c r="E398" s="44" t="inlineStr">
        <is>
          <t>Козлов И.Р.</t>
        </is>
      </c>
      <c r="F398" s="45" t="n">
        <v>5.58</v>
      </c>
      <c r="G398" s="46" t="n">
        <v>145</v>
      </c>
      <c r="H398" s="44" t="inlineStr">
        <is>
          <t>Нет материала</t>
        </is>
      </c>
    </row>
    <row r="399">
      <c r="A399" s="43" t="n">
        <v>46295</v>
      </c>
      <c r="B399" s="44" t="inlineStr">
        <is>
          <t>Вечерняя</t>
        </is>
      </c>
      <c r="C399" s="44" t="inlineStr">
        <is>
          <t>Мехобработка</t>
        </is>
      </c>
      <c r="D399" s="44" t="inlineStr">
        <is>
          <t>CNC-02</t>
        </is>
      </c>
      <c r="E399" s="44" t="inlineStr">
        <is>
          <t>Смирнов А.В.</t>
        </is>
      </c>
      <c r="F399" s="45" t="n">
        <v>6.92</v>
      </c>
      <c r="G399" s="46" t="n">
        <v>65</v>
      </c>
      <c r="H399" s="44" t="inlineStr">
        <is>
          <t>Переналадка</t>
        </is>
      </c>
    </row>
    <row r="400">
      <c r="A400" s="43" t="n">
        <v>46295</v>
      </c>
      <c r="B400" s="44" t="inlineStr">
        <is>
          <t>Вечерняя</t>
        </is>
      </c>
      <c r="C400" s="44" t="inlineStr">
        <is>
          <t>Мехобработка</t>
        </is>
      </c>
      <c r="D400" s="44" t="inlineStr">
        <is>
          <t>CNC-03</t>
        </is>
      </c>
      <c r="E400" s="44" t="inlineStr">
        <is>
          <t>Попов П.Л.</t>
        </is>
      </c>
      <c r="F400" s="45" t="n">
        <v>7.25</v>
      </c>
      <c r="G400" s="46" t="n">
        <v>45</v>
      </c>
      <c r="H400" s="44" t="inlineStr">
        <is>
          <t>Переналадка</t>
        </is>
      </c>
    </row>
    <row r="401">
      <c r="A401" s="43" t="n">
        <v>46295</v>
      </c>
      <c r="B401" s="44" t="inlineStr">
        <is>
          <t>Вечерняя</t>
        </is>
      </c>
      <c r="C401" s="44" t="inlineStr">
        <is>
          <t>Сварка</t>
        </is>
      </c>
      <c r="D401" s="44" t="inlineStr">
        <is>
          <t>WLD-01</t>
        </is>
      </c>
      <c r="E401" s="44" t="inlineStr">
        <is>
          <t>Соколов К.А.</t>
        </is>
      </c>
      <c r="F401" s="45" t="n">
        <v>2.08</v>
      </c>
      <c r="G401" s="46" t="n">
        <v>355</v>
      </c>
      <c r="H401" s="44" t="inlineStr">
        <is>
          <t>Поломка</t>
        </is>
      </c>
    </row>
    <row r="402">
      <c r="A402" s="43" t="n">
        <v>46295</v>
      </c>
      <c r="B402" s="44" t="inlineStr">
        <is>
          <t>Вечерняя</t>
        </is>
      </c>
      <c r="C402" s="44" t="inlineStr">
        <is>
          <t>Сварка</t>
        </is>
      </c>
      <c r="D402" s="44" t="inlineStr">
        <is>
          <t>WLD-02</t>
        </is>
      </c>
      <c r="E402" s="44" t="inlineStr">
        <is>
          <t>Попов В.Р.</t>
        </is>
      </c>
      <c r="F402" s="45" t="n">
        <v>6.58</v>
      </c>
      <c r="G402" s="46" t="n">
        <v>85</v>
      </c>
      <c r="H402" s="44" t="inlineStr">
        <is>
          <t>Переналадка</t>
        </is>
      </c>
    </row>
    <row r="403">
      <c r="A403" s="43" t="n">
        <v>46295</v>
      </c>
      <c r="B403" s="44" t="inlineStr">
        <is>
          <t>Дневная</t>
        </is>
      </c>
      <c r="C403" s="44" t="inlineStr">
        <is>
          <t>Сборка</t>
        </is>
      </c>
      <c r="D403" s="44" t="inlineStr">
        <is>
          <t>ASM-01</t>
        </is>
      </c>
      <c r="E403" s="44" t="inlineStr">
        <is>
          <t>Волков О.Л.</t>
        </is>
      </c>
      <c r="F403" s="45" t="n">
        <v>7.33</v>
      </c>
      <c r="G403" s="46" t="n">
        <v>40</v>
      </c>
      <c r="H403" s="44" t="inlineStr">
        <is>
          <t>Замена инструмента</t>
        </is>
      </c>
    </row>
    <row r="404">
      <c r="A404" s="43" t="n">
        <v>46295</v>
      </c>
      <c r="B404" s="44" t="inlineStr">
        <is>
          <t>Дневная</t>
        </is>
      </c>
      <c r="C404" s="44" t="inlineStr">
        <is>
          <t>Сборка</t>
        </is>
      </c>
      <c r="D404" s="44" t="inlineStr">
        <is>
          <t>ASM-02</t>
        </is>
      </c>
      <c r="E404" s="44" t="inlineStr">
        <is>
          <t>Попов А.Л.</t>
        </is>
      </c>
      <c r="F404" s="45" t="n">
        <v>6.83</v>
      </c>
      <c r="G404" s="46" t="n">
        <v>70</v>
      </c>
      <c r="H404" s="44" t="inlineStr">
        <is>
          <t>Переналадка</t>
        </is>
      </c>
    </row>
    <row r="405">
      <c r="A405" s="43" t="n">
        <v>46295</v>
      </c>
      <c r="B405" s="44" t="inlineStr">
        <is>
          <t>Дневная</t>
        </is>
      </c>
      <c r="C405" s="44" t="inlineStr">
        <is>
          <t>Мехобработка</t>
        </is>
      </c>
      <c r="D405" s="44" t="inlineStr">
        <is>
          <t>CNC-01</t>
        </is>
      </c>
      <c r="E405" s="44" t="inlineStr">
        <is>
          <t>Михайлов К.Д.</t>
        </is>
      </c>
      <c r="F405" s="45" t="n">
        <v>5.92</v>
      </c>
      <c r="G405" s="46" t="n">
        <v>125</v>
      </c>
      <c r="H405" s="44" t="inlineStr">
        <is>
          <t>Плановое ТО</t>
        </is>
      </c>
    </row>
    <row r="406">
      <c r="A406" s="43" t="n">
        <v>46295</v>
      </c>
      <c r="B406" s="44" t="inlineStr">
        <is>
          <t>Дневная</t>
        </is>
      </c>
      <c r="C406" s="44" t="inlineStr">
        <is>
          <t>Мехобработка</t>
        </is>
      </c>
      <c r="D406" s="44" t="inlineStr">
        <is>
          <t>CNC-02</t>
        </is>
      </c>
      <c r="E406" s="44" t="inlineStr">
        <is>
          <t>Морозов Л.Д.</t>
        </is>
      </c>
      <c r="F406" s="45" t="n">
        <v>7.25</v>
      </c>
      <c r="G406" s="46" t="n">
        <v>45</v>
      </c>
      <c r="H406" s="44" t="inlineStr">
        <is>
          <t>Переналадка</t>
        </is>
      </c>
    </row>
    <row r="407">
      <c r="A407" s="43" t="n">
        <v>46295</v>
      </c>
      <c r="B407" s="44" t="inlineStr">
        <is>
          <t>Дневная</t>
        </is>
      </c>
      <c r="C407" s="44" t="inlineStr">
        <is>
          <t>Мехобработка</t>
        </is>
      </c>
      <c r="D407" s="44" t="inlineStr">
        <is>
          <t>CNC-03</t>
        </is>
      </c>
      <c r="E407" s="44" t="inlineStr">
        <is>
          <t>Николаев О.И.</t>
        </is>
      </c>
      <c r="F407" s="45" t="n">
        <v>8</v>
      </c>
      <c r="G407" s="46" t="n">
        <v>0</v>
      </c>
      <c r="H407" s="44" t="n"/>
    </row>
    <row r="408">
      <c r="A408" s="43" t="n">
        <v>46295</v>
      </c>
      <c r="B408" s="44" t="inlineStr">
        <is>
          <t>Дневная</t>
        </is>
      </c>
      <c r="C408" s="44" t="inlineStr">
        <is>
          <t>Покраска</t>
        </is>
      </c>
      <c r="D408" s="44" t="inlineStr">
        <is>
          <t>PNT-01</t>
        </is>
      </c>
      <c r="E408" s="44" t="inlineStr">
        <is>
          <t>Смирнов С.Г.</t>
        </is>
      </c>
      <c r="F408" s="45" t="n">
        <v>8</v>
      </c>
      <c r="G408" s="46" t="n">
        <v>0</v>
      </c>
      <c r="H408" s="44" t="n"/>
    </row>
    <row r="409">
      <c r="A409" s="43" t="n">
        <v>46295</v>
      </c>
      <c r="B409" s="44" t="inlineStr">
        <is>
          <t>Дневная</t>
        </is>
      </c>
      <c r="C409" s="44" t="inlineStr">
        <is>
          <t>Сварка</t>
        </is>
      </c>
      <c r="D409" s="44" t="inlineStr">
        <is>
          <t>WLD-01</t>
        </is>
      </c>
      <c r="E409" s="44" t="inlineStr">
        <is>
          <t>Фёдоров В.К.</t>
        </is>
      </c>
      <c r="F409" s="45" t="n">
        <v>8</v>
      </c>
      <c r="G409" s="46" t="n">
        <v>0</v>
      </c>
      <c r="H409" s="44" t="n"/>
    </row>
    <row r="410">
      <c r="A410" s="43" t="n">
        <v>46295</v>
      </c>
      <c r="B410" s="44" t="inlineStr">
        <is>
          <t>Дневная</t>
        </is>
      </c>
      <c r="C410" s="44" t="inlineStr">
        <is>
          <t>Сварка</t>
        </is>
      </c>
      <c r="D410" s="44" t="inlineStr">
        <is>
          <t>WLD-02</t>
        </is>
      </c>
      <c r="E410" s="44" t="inlineStr">
        <is>
          <t>Кузнецов П.Г.</t>
        </is>
      </c>
      <c r="F410" s="45" t="n">
        <v>5.67</v>
      </c>
      <c r="G410" s="46" t="n">
        <v>140</v>
      </c>
      <c r="H410" s="44" t="inlineStr">
        <is>
          <t>Нет материала</t>
        </is>
      </c>
    </row>
    <row r="411">
      <c r="A411" s="43" t="n">
        <v>46295</v>
      </c>
      <c r="B411" s="44" t="inlineStr">
        <is>
          <t>Ночная</t>
        </is>
      </c>
      <c r="C411" s="44" t="inlineStr">
        <is>
          <t>Мехобработка</t>
        </is>
      </c>
      <c r="D411" s="44" t="inlineStr">
        <is>
          <t>CNC-01</t>
        </is>
      </c>
      <c r="E411" s="44" t="inlineStr">
        <is>
          <t>Соколов Н.Г.</t>
        </is>
      </c>
      <c r="F411" s="45" t="n">
        <v>8</v>
      </c>
      <c r="G411" s="46" t="n">
        <v>0</v>
      </c>
      <c r="H411" s="44" t="n"/>
    </row>
    <row r="412">
      <c r="A412" s="43" t="n">
        <v>46295</v>
      </c>
      <c r="B412" s="44" t="inlineStr">
        <is>
          <t>Ночная</t>
        </is>
      </c>
      <c r="C412" s="44" t="inlineStr">
        <is>
          <t>Мехобработка</t>
        </is>
      </c>
      <c r="D412" s="44" t="inlineStr">
        <is>
          <t>CNC-02</t>
        </is>
      </c>
      <c r="E412" s="44" t="inlineStr">
        <is>
          <t>Михайлов С.Л.</t>
        </is>
      </c>
      <c r="F412" s="45" t="n">
        <v>7.25</v>
      </c>
      <c r="G412" s="46" t="n">
        <v>45</v>
      </c>
      <c r="H412" s="44" t="inlineStr">
        <is>
          <t>Переналадка</t>
        </is>
      </c>
    </row>
    <row r="413">
      <c r="A413" s="43" t="n">
        <v>46295</v>
      </c>
      <c r="B413" s="44" t="inlineStr">
        <is>
          <t>Ночная</t>
        </is>
      </c>
      <c r="C413" s="44" t="inlineStr">
        <is>
          <t>Мехобработка</t>
        </is>
      </c>
      <c r="D413" s="44" t="inlineStr">
        <is>
          <t>CNC-03</t>
        </is>
      </c>
      <c r="E413" s="44" t="inlineStr">
        <is>
          <t>Иванов Е.Р.</t>
        </is>
      </c>
      <c r="F413" s="45" t="n">
        <v>5.25</v>
      </c>
      <c r="G413" s="46" t="n">
        <v>165</v>
      </c>
      <c r="H413" s="44" t="inlineStr">
        <is>
          <t>Нет материала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37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40" customWidth="1" min="3" max="3"/>
    <col width="60" customWidth="1" min="4" max="4"/>
  </cols>
  <sheetData>
    <row r="1" ht="30" customHeight="1">
      <c r="B1" s="1" t="inlineStr">
        <is>
          <t>Журнал загрузки — что было исправлено</t>
        </is>
      </c>
      <c r="C1" s="2" t="n"/>
      <c r="D1" s="2" t="n"/>
    </row>
    <row r="2">
      <c r="B2" s="3" t="inlineStr">
        <is>
          <t>Демо-проект · Demo project — компания, люди и цифры вымышлены</t>
        </is>
      </c>
    </row>
    <row r="4">
      <c r="B4" s="37" t="inlineStr">
        <is>
          <t>Итог</t>
        </is>
      </c>
      <c r="C4" s="4" t="inlineStr">
        <is>
          <t>Принято строк: 412 из 417</t>
        </is>
      </c>
    </row>
    <row r="5">
      <c r="B5" s="47" t="n">
        <v>1</v>
      </c>
      <c r="C5" s="48" t="inlineStr">
        <is>
          <t>Отклонено: дата не распознана</t>
        </is>
      </c>
    </row>
    <row r="6">
      <c r="B6" s="47" t="n">
        <v>1</v>
      </c>
      <c r="C6" s="48" t="inlineStr">
        <is>
          <t>Отклонено: отрицательное значение</t>
        </is>
      </c>
    </row>
    <row r="7">
      <c r="B7" s="47" t="n">
        <v>3</v>
      </c>
      <c r="C7" s="26" t="inlineStr">
        <is>
          <t>Удалено: дубликат строки</t>
        </is>
      </c>
    </row>
    <row r="8">
      <c r="B8" s="47" t="n">
        <v>5</v>
      </c>
      <c r="C8" s="26" t="inlineStr">
        <is>
          <t>Заполнено: простой без причины</t>
        </is>
      </c>
    </row>
    <row r="9">
      <c r="B9" s="47" t="n">
        <v>6</v>
      </c>
      <c r="C9" s="26" t="inlineStr">
        <is>
          <t>Приведено написание (оборудование)</t>
        </is>
      </c>
    </row>
    <row r="10">
      <c r="B10" s="47" t="n">
        <v>9</v>
      </c>
      <c r="C10" s="26" t="inlineStr">
        <is>
          <t>Приведено написание (смена)</t>
        </is>
      </c>
    </row>
    <row r="12" ht="30" customHeight="1">
      <c r="B12" s="16" t="inlineStr">
        <is>
          <t>Строка CSV</t>
        </is>
      </c>
      <c r="C12" s="17" t="inlineStr">
        <is>
          <t>Действие</t>
        </is>
      </c>
      <c r="D12" s="17" t="inlineStr">
        <is>
          <t>Подробности</t>
        </is>
      </c>
    </row>
    <row r="13">
      <c r="B13" s="28" t="n">
        <v>2</v>
      </c>
      <c r="C13" s="26" t="inlineStr">
        <is>
          <t>Приведено написание (смена)</t>
        </is>
      </c>
      <c r="D13" s="26" t="inlineStr">
        <is>
          <t>'дневная' -&gt; 'Дневная'</t>
        </is>
      </c>
    </row>
    <row r="14">
      <c r="B14" s="28" t="n">
        <v>30</v>
      </c>
      <c r="C14" s="26" t="inlineStr">
        <is>
          <t>Приведено написание (смена)</t>
        </is>
      </c>
      <c r="D14" s="26" t="inlineStr">
        <is>
          <t>'дневная' -&gt; 'Дневная'</t>
        </is>
      </c>
    </row>
    <row r="15">
      <c r="B15" s="28" t="n">
        <v>31</v>
      </c>
      <c r="C15" s="26" t="inlineStr">
        <is>
          <t>Приведено написание (оборудование)</t>
        </is>
      </c>
      <c r="D15" s="26" t="inlineStr">
        <is>
          <t>'asm-01' -&gt; 'ASM-01'</t>
        </is>
      </c>
    </row>
    <row r="16">
      <c r="B16" s="28" t="n">
        <v>53</v>
      </c>
      <c r="C16" s="26" t="inlineStr">
        <is>
          <t>Приведено написание (оборудование)</t>
        </is>
      </c>
      <c r="D16" s="26" t="inlineStr">
        <is>
          <t>'wld-01' -&gt; 'WLD-01'</t>
        </is>
      </c>
    </row>
    <row r="17">
      <c r="B17" s="28" t="n">
        <v>60</v>
      </c>
      <c r="C17" s="26" t="inlineStr">
        <is>
          <t>Заполнено: простой без причины</t>
        </is>
      </c>
      <c r="D17" s="26" t="inlineStr">
        <is>
          <t>Не указана</t>
        </is>
      </c>
    </row>
    <row r="18">
      <c r="B18" s="28" t="n">
        <v>65</v>
      </c>
      <c r="C18" s="26" t="inlineStr">
        <is>
          <t>Приведено написание (смена)</t>
        </is>
      </c>
      <c r="D18" s="26" t="inlineStr">
        <is>
          <t>'дневная' -&gt; 'Дневная'</t>
        </is>
      </c>
    </row>
    <row r="19">
      <c r="B19" s="28" t="n">
        <v>77</v>
      </c>
      <c r="C19" s="26" t="inlineStr">
        <is>
          <t>Приведено написание (смена)</t>
        </is>
      </c>
      <c r="D19" s="26" t="inlineStr">
        <is>
          <t>'дневная' -&gt; 'Дневная'</t>
        </is>
      </c>
    </row>
    <row r="20">
      <c r="B20" s="28" t="n">
        <v>89</v>
      </c>
      <c r="C20" s="26" t="inlineStr">
        <is>
          <t>Удалено: дубликат строки</t>
        </is>
      </c>
      <c r="D20" s="26" t="inlineStr">
        <is>
          <t>точный дубликат одной из строк выше</t>
        </is>
      </c>
    </row>
    <row r="21">
      <c r="B21" s="28" t="n">
        <v>120</v>
      </c>
      <c r="C21" s="26" t="inlineStr">
        <is>
          <t>Приведено написание (оборудование)</t>
        </is>
      </c>
      <c r="D21" s="26" t="inlineStr">
        <is>
          <t>'cnc-02' -&gt; 'CNC-02'</t>
        </is>
      </c>
    </row>
    <row r="22">
      <c r="B22" s="28" t="n">
        <v>130</v>
      </c>
      <c r="C22" s="26" t="inlineStr">
        <is>
          <t>Заполнено: простой без причины</t>
        </is>
      </c>
      <c r="D22" s="26" t="inlineStr">
        <is>
          <t>Не указана</t>
        </is>
      </c>
    </row>
    <row r="23">
      <c r="B23" s="28" t="n">
        <v>147</v>
      </c>
      <c r="C23" s="26" t="inlineStr">
        <is>
          <t>Приведено написание (смена)</t>
        </is>
      </c>
      <c r="D23" s="26" t="inlineStr">
        <is>
          <t>'дневная' -&gt; 'Дневная'</t>
        </is>
      </c>
    </row>
    <row r="24">
      <c r="B24" s="28" t="n">
        <v>198</v>
      </c>
      <c r="C24" s="26" t="inlineStr">
        <is>
          <t>Удалено: дубликат строки</t>
        </is>
      </c>
      <c r="D24" s="26" t="inlineStr">
        <is>
          <t>точный дубликат одной из строк выше</t>
        </is>
      </c>
    </row>
    <row r="25">
      <c r="B25" s="28" t="n">
        <v>211</v>
      </c>
      <c r="C25" s="26" t="inlineStr">
        <is>
          <t>Приведено написание (смена)</t>
        </is>
      </c>
      <c r="D25" s="26" t="inlineStr">
        <is>
          <t>'дневная' -&gt; 'Дневная'</t>
        </is>
      </c>
    </row>
    <row r="26">
      <c r="B26" s="28" t="n">
        <v>258</v>
      </c>
      <c r="C26" s="26" t="inlineStr">
        <is>
          <t>Приведено написание (смена)</t>
        </is>
      </c>
      <c r="D26" s="26" t="inlineStr">
        <is>
          <t>'дневная' -&gt; 'Дневная'</t>
        </is>
      </c>
    </row>
    <row r="27">
      <c r="B27" s="28" t="n">
        <v>261</v>
      </c>
      <c r="C27" s="26" t="inlineStr">
        <is>
          <t>Удалено: дубликат строки</t>
        </is>
      </c>
      <c r="D27" s="26" t="inlineStr">
        <is>
          <t>точный дубликат одной из строк выше</t>
        </is>
      </c>
    </row>
    <row r="28">
      <c r="B28" s="28" t="n">
        <v>266</v>
      </c>
      <c r="C28" s="26" t="inlineStr">
        <is>
          <t>Приведено написание (оборудование)</t>
        </is>
      </c>
      <c r="D28" s="26" t="inlineStr">
        <is>
          <t>'cnc-02' -&gt; 'CNC-02'</t>
        </is>
      </c>
    </row>
    <row r="29">
      <c r="B29" s="28" t="n">
        <v>274</v>
      </c>
      <c r="C29" s="26" t="inlineStr">
        <is>
          <t>Приведено написание (смена)</t>
        </is>
      </c>
      <c r="D29" s="26" t="inlineStr">
        <is>
          <t>'вечерняя' -&gt; 'Вечерняя'</t>
        </is>
      </c>
    </row>
    <row r="30">
      <c r="B30" s="28" t="n">
        <v>275</v>
      </c>
      <c r="C30" s="26" t="inlineStr">
        <is>
          <t>Заполнено: простой без причины</t>
        </is>
      </c>
      <c r="D30" s="26" t="inlineStr">
        <is>
          <t>Не указана</t>
        </is>
      </c>
    </row>
    <row r="31">
      <c r="B31" s="28" t="n">
        <v>302</v>
      </c>
      <c r="C31" s="26" t="inlineStr">
        <is>
          <t>Приведено написание (смена)</t>
        </is>
      </c>
      <c r="D31" s="26" t="inlineStr">
        <is>
          <t>'вечерняя' -&gt; 'Вечерняя'</t>
        </is>
      </c>
    </row>
    <row r="32">
      <c r="B32" s="28" t="n">
        <v>341</v>
      </c>
      <c r="C32" s="26" t="inlineStr">
        <is>
          <t>Приведено написание (оборудование)</t>
        </is>
      </c>
      <c r="D32" s="26" t="inlineStr">
        <is>
          <t>'cnc-01' -&gt; 'CNC-01'</t>
        </is>
      </c>
    </row>
    <row r="33">
      <c r="B33" s="28" t="n">
        <v>348</v>
      </c>
      <c r="C33" s="26" t="inlineStr">
        <is>
          <t>Заполнено: простой без причины</t>
        </is>
      </c>
      <c r="D33" s="26" t="inlineStr">
        <is>
          <t>Не указана</t>
        </is>
      </c>
    </row>
    <row r="34">
      <c r="B34" s="28" t="n">
        <v>356</v>
      </c>
      <c r="C34" s="26" t="inlineStr">
        <is>
          <t>Заполнено: простой без причины</t>
        </is>
      </c>
      <c r="D34" s="26" t="inlineStr">
        <is>
          <t>Не указана</t>
        </is>
      </c>
    </row>
    <row r="35">
      <c r="B35" s="28" t="n">
        <v>360</v>
      </c>
      <c r="C35" s="48" t="inlineStr">
        <is>
          <t>Отклонено: отрицательное значение</t>
        </is>
      </c>
      <c r="D35" s="26" t="inlineStr">
        <is>
          <t>работа=8.0, простой=-15.0</t>
        </is>
      </c>
    </row>
    <row r="36">
      <c r="B36" s="28" t="n">
        <v>369</v>
      </c>
      <c r="C36" s="48" t="inlineStr">
        <is>
          <t>Отклонено: дата не распознана</t>
        </is>
      </c>
      <c r="D36" s="26" t="inlineStr">
        <is>
          <t>не удалось распознать дату '45.13.2026'</t>
        </is>
      </c>
    </row>
    <row r="37">
      <c r="B37" s="28" t="n">
        <v>407</v>
      </c>
      <c r="C37" s="26" t="inlineStr">
        <is>
          <t>Приведено написание (оборудование)</t>
        </is>
      </c>
      <c r="D37" s="26" t="inlineStr">
        <is>
          <t>'cnc-02' -&gt; 'CNC-02'</t>
        </is>
      </c>
    </row>
  </sheetData>
  <autoFilter ref="B12:D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4" customWidth="1" min="5" max="5"/>
    <col width="50" customWidth="1" min="6" max="6"/>
  </cols>
  <sheetData>
    <row r="1">
      <c r="A1" t="inlineStr">
        <is>
          <t>Смена</t>
        </is>
      </c>
      <c r="B1" t="inlineStr">
        <is>
          <t>Цех</t>
        </is>
      </c>
      <c r="C1" t="inlineStr">
        <is>
          <t>Дата</t>
        </is>
      </c>
      <c r="H1" t="inlineStr">
        <is>
          <t>Цель</t>
        </is>
      </c>
    </row>
    <row r="2">
      <c r="A2" t="inlineStr">
        <is>
          <t>Все</t>
        </is>
      </c>
      <c r="B2" t="inlineStr">
        <is>
          <t>Все</t>
        </is>
      </c>
      <c r="C2" s="49">
        <f>MIN(tblData[Дата])</f>
        <v>46266</v>
      </c>
      <c r="E2" t="inlineStr">
        <is>
          <t>Shift criterion</t>
        </is>
      </c>
      <c r="F2" t="str">
        <f>IF(OR(selShift="",selShift=$A$2),"*",selShift)</f>
        <v>*</v>
      </c>
      <c r="H2" s="50">
        <f>tgtAvail</f>
        <v>0.85</v>
      </c>
    </row>
    <row r="3">
      <c r="A3" t="inlineStr">
        <is>
          <t>Дневная</t>
        </is>
      </c>
      <c r="B3" t="inlineStr">
        <is>
          <t>Мехобработка</t>
        </is>
      </c>
      <c r="C3" s="49">
        <f>IF(C2="","",IF(C2+1&gt;MAX(tblData[Дата]),"",C2+1))</f>
        <v>46267</v>
      </c>
      <c r="E3" t="inlineStr">
        <is>
          <t>Department criterion</t>
        </is>
      </c>
      <c r="F3" t="str">
        <f>IF(OR(selDept="",selDept=$B$2),"*",selDept)</f>
        <v>*</v>
      </c>
      <c r="H3" s="50">
        <f>tgtAvail</f>
        <v>0.85</v>
      </c>
    </row>
    <row r="4">
      <c r="A4" t="inlineStr">
        <is>
          <t>Вечерняя</t>
        </is>
      </c>
      <c r="B4" t="inlineStr">
        <is>
          <t>Покраска</t>
        </is>
      </c>
      <c r="C4" s="49">
        <f>IF(C3="","",IF(C3+1&gt;MAX(tblData[Дата]),"",C3+1))</f>
        <v>46268</v>
      </c>
      <c r="E4" t="inlineStr">
        <is>
          <t>Date from (effective)</t>
        </is>
      </c>
      <c r="F4" s="49">
        <f>IF(ISNUMBER(selFrom),selFrom,MIN(tblData[Дата]))</f>
        <v>46266</v>
      </c>
      <c r="H4" s="50">
        <f>tgtAvail</f>
        <v>0.85</v>
      </c>
    </row>
    <row r="5">
      <c r="A5" t="inlineStr">
        <is>
          <t>Ночная</t>
        </is>
      </c>
      <c r="B5" t="inlineStr">
        <is>
          <t>Сборка</t>
        </is>
      </c>
      <c r="C5" s="49">
        <f>IF(C4="","",IF(C4+1&gt;MAX(tblData[Дата]),"",C4+1))</f>
        <v>46269</v>
      </c>
      <c r="E5" t="inlineStr">
        <is>
          <t>Date to (effective)</t>
        </is>
      </c>
      <c r="F5" s="49">
        <f>IF(ISNUMBER(selTo),selTo,MAX(tblData[Дата]))</f>
        <v>46295</v>
      </c>
      <c r="H5" s="50">
        <f>tgtAvail</f>
        <v>0.85</v>
      </c>
    </row>
    <row r="6">
      <c r="B6" t="inlineStr">
        <is>
          <t>Сварка</t>
        </is>
      </c>
      <c r="C6" s="49">
        <f>IF(C5="","",IF(C5+1&gt;MAX(tblData[Дата]),"",C5+1))</f>
        <v>46270</v>
      </c>
      <c r="E6" t="inlineStr">
        <is>
          <t>Period text</t>
        </is>
      </c>
      <c r="F6" t="str">
        <f>RIGHT("0"&amp;DAY(dFrom),2)&amp;"."&amp;RIGHT("0"&amp;MONTH(dFrom),2)&amp;"."&amp;YEAR(dFrom)&amp;" – "&amp;RIGHT("0"&amp;DAY(dTo),2)&amp;"."&amp;RIGHT("0"&amp;MONTH(dTo),2)&amp;"."&amp;YEAR(dTo)</f>
        <v>01.09.2026 – 30.09.2026</v>
      </c>
    </row>
    <row r="7">
      <c r="C7" s="49">
        <f>IF(C6="","",IF(C6+1&gt;MAX(tblData[Дата]),"",C6+1))</f>
        <v>46271</v>
      </c>
      <c r="E7" t="inlineStr">
        <is>
          <t>Caption</t>
        </is>
      </c>
      <c r="F7" t="str">
        <f>"Смена: "&amp;IF(critShift="*",$A$2,selShift)&amp;"   ·   Цех: "&amp;IF(critDept="*",$B$2,selDept)&amp;"   ·   Период: "&amp;periodText</f>
        <v>Смена: Все   ·   Цех: Все   ·   Период: 01.09.2026 – 30.09.2026</v>
      </c>
    </row>
    <row r="8">
      <c r="C8" s="49">
        <f>IF(C7="","",IF(C7+1&gt;MAX(tblData[Дата]),"",C7+1))</f>
        <v>46272</v>
      </c>
    </row>
    <row r="9">
      <c r="C9" s="49">
        <f>IF(C8="","",IF(C8+1&gt;MAX(tblData[Дата]),"",C8+1))</f>
        <v>46273</v>
      </c>
    </row>
    <row r="10">
      <c r="C10" s="49">
        <f>IF(C9="","",IF(C9+1&gt;MAX(tblData[Дата]),"",C9+1))</f>
        <v>46274</v>
      </c>
      <c r="E10" t="inlineStr">
        <is>
          <t>Служебный лист для выпадающих списков и критериев фильтра. Не редактировать.</t>
        </is>
      </c>
    </row>
    <row r="11">
      <c r="C11" s="49">
        <f>IF(C10="","",IF(C10+1&gt;MAX(tblData[Дата]),"",C10+1))</f>
        <v>46275</v>
      </c>
    </row>
    <row r="12">
      <c r="C12" s="49">
        <f>IF(C11="","",IF(C11+1&gt;MAX(tblData[Дата]),"",C11+1))</f>
        <v>46276</v>
      </c>
    </row>
    <row r="13">
      <c r="C13" s="49">
        <f>IF(C12="","",IF(C12+1&gt;MAX(tblData[Дата]),"",C12+1))</f>
        <v>46277</v>
      </c>
    </row>
    <row r="14">
      <c r="C14" s="49">
        <f>IF(C13="","",IF(C13+1&gt;MAX(tblData[Дата]),"",C13+1))</f>
        <v>46278</v>
      </c>
    </row>
    <row r="15">
      <c r="C15" s="49">
        <f>IF(C14="","",IF(C14+1&gt;MAX(tblData[Дата]),"",C14+1))</f>
        <v>46279</v>
      </c>
    </row>
    <row r="16">
      <c r="C16" s="49">
        <f>IF(C15="","",IF(C15+1&gt;MAX(tblData[Дата]),"",C15+1))</f>
        <v>46280</v>
      </c>
    </row>
    <row r="17">
      <c r="C17" s="49">
        <f>IF(C16="","",IF(C16+1&gt;MAX(tblData[Дата]),"",C16+1))</f>
        <v>46281</v>
      </c>
    </row>
    <row r="18">
      <c r="C18" s="49">
        <f>IF(C17="","",IF(C17+1&gt;MAX(tblData[Дата]),"",C17+1))</f>
        <v>46282</v>
      </c>
    </row>
    <row r="19">
      <c r="C19" s="49">
        <f>IF(C18="","",IF(C18+1&gt;MAX(tblData[Дата]),"",C18+1))</f>
        <v>46283</v>
      </c>
    </row>
    <row r="20">
      <c r="C20" s="49">
        <f>IF(C19="","",IF(C19+1&gt;MAX(tblData[Дата]),"",C19+1))</f>
        <v>46284</v>
      </c>
    </row>
    <row r="21">
      <c r="C21" s="49">
        <f>IF(C20="","",IF(C20+1&gt;MAX(tblData[Дата]),"",C20+1))</f>
        <v>46285</v>
      </c>
    </row>
    <row r="22">
      <c r="C22" s="49">
        <f>IF(C21="","",IF(C21+1&gt;MAX(tblData[Дата]),"",C21+1))</f>
        <v>46286</v>
      </c>
    </row>
    <row r="23">
      <c r="C23" s="49">
        <f>IF(C22="","",IF(C22+1&gt;MAX(tblData[Дата]),"",C22+1))</f>
        <v>46287</v>
      </c>
    </row>
    <row r="24">
      <c r="C24" s="49">
        <f>IF(C23="","",IF(C23+1&gt;MAX(tblData[Дата]),"",C23+1))</f>
        <v>46288</v>
      </c>
    </row>
    <row r="25">
      <c r="C25" s="49">
        <f>IF(C24="","",IF(C24+1&gt;MAX(tblData[Дата]),"",C24+1))</f>
        <v>46289</v>
      </c>
    </row>
    <row r="26">
      <c r="C26" s="49">
        <f>IF(C25="","",IF(C25+1&gt;MAX(tblData[Дата]),"",C25+1))</f>
        <v>46290</v>
      </c>
    </row>
    <row r="27">
      <c r="C27" s="49">
        <f>IF(C26="","",IF(C26+1&gt;MAX(tblData[Дата]),"",C26+1))</f>
        <v>46291</v>
      </c>
    </row>
    <row r="28">
      <c r="C28" s="49">
        <f>IF(C27="","",IF(C27+1&gt;MAX(tblData[Дата]),"",C27+1))</f>
        <v>46292</v>
      </c>
    </row>
    <row r="29">
      <c r="C29" s="49">
        <f>IF(C28="","",IF(C28+1&gt;MAX(tblData[Дата]),"",C28+1))</f>
        <v>46293</v>
      </c>
    </row>
    <row r="30">
      <c r="C30" s="49">
        <f>IF(C29="","",IF(C29+1&gt;MAX(tblData[Дата]),"",C29+1))</f>
        <v>46294</v>
      </c>
    </row>
    <row r="31">
      <c r="C31" s="49">
        <f>IF(C30="","",IF(C30+1&gt;MAX(tblData[Дата]),"",C30+1))</f>
        <v>46295</v>
      </c>
    </row>
    <row r="32">
      <c r="C32" s="49" t="str">
        <f>IF(C31="","",IF(C31+1&gt;MAX(tblData[Дата]),"",C31+1))</f>
        <v/>
      </c>
    </row>
    <row r="33">
      <c r="C33" s="49" t="str">
        <f>IF(C32="","",IF(C32+1&gt;MAX(tblData[Дата]),"",C32+1))</f>
        <v/>
      </c>
    </row>
    <row r="34">
      <c r="C34" s="49" t="str">
        <f>IF(C33="","",IF(C33+1&gt;MAX(tblData[Дата]),"",C33+1))</f>
        <v/>
      </c>
    </row>
    <row r="35">
      <c r="C35" s="49" t="str">
        <f>IF(C34="","",IF(C34+1&gt;MAX(tblData[Дата]),"",C34+1))</f>
        <v/>
      </c>
    </row>
    <row r="36">
      <c r="C36" s="49" t="str">
        <f>IF(C35="","",IF(C35+1&gt;MAX(tblData[Дата]),"",C35+1))</f>
        <v/>
      </c>
    </row>
    <row r="37">
      <c r="C37" s="49" t="str">
        <f>IF(C36="","",IF(C36+1&gt;MAX(tblData[Дата]),"",C36+1))</f>
        <v/>
      </c>
    </row>
    <row r="38">
      <c r="C38" s="49" t="str">
        <f>IF(C37="","",IF(C37+1&gt;MAX(tblData[Дата]),"",C37+1))</f>
        <v/>
      </c>
    </row>
    <row r="39">
      <c r="C39" s="49" t="str">
        <f>IF(C38="","",IF(C38+1&gt;MAX(tblData[Дата]),"",C38+1))</f>
        <v/>
      </c>
    </row>
    <row r="40">
      <c r="C40" s="49" t="str">
        <f>IF(C39="","",IF(C39+1&gt;MAX(tblData[Дата]),"",C39+1))</f>
        <v/>
      </c>
    </row>
    <row r="41">
      <c r="C41" s="49" t="str">
        <f>IF(C40="","",IF(C40+1&gt;MAX(tblData[Дата]),"",C40+1))</f>
        <v/>
      </c>
    </row>
    <row r="42">
      <c r="C42" s="49" t="str">
        <f>IF(C41="","",IF(C41+1&gt;MAX(tblData[Дата]),"",C41+1))</f>
        <v/>
      </c>
    </row>
    <row r="43">
      <c r="C43" s="49" t="str">
        <f>IF(C42="","",IF(C42+1&gt;MAX(tblData[Дата]),"",C42+1))</f>
        <v/>
      </c>
    </row>
    <row r="44">
      <c r="C44" s="49" t="str">
        <f>IF(C43="","",IF(C43+1&gt;MAX(tblData[Дата]),"",C43+1))</f>
        <v/>
      </c>
    </row>
    <row r="45">
      <c r="C45" s="49" t="str">
        <f>IF(C44="","",IF(C44+1&gt;MAX(tblData[Дата]),"",C44+1))</f>
        <v/>
      </c>
    </row>
    <row r="46">
      <c r="C46" s="49" t="str">
        <f>IF(C45="","",IF(C45+1&gt;MAX(tblData[Дата]),"",C45+1))</f>
        <v/>
      </c>
    </row>
    <row r="47">
      <c r="C47" s="49" t="str">
        <f>IF(C46="","",IF(C46+1&gt;MAX(tblData[Дата]),"",C46+1))</f>
        <v/>
      </c>
    </row>
    <row r="48">
      <c r="C48" s="49" t="str">
        <f>IF(C47="","",IF(C47+1&gt;MAX(tblData[Дата]),"",C47+1))</f>
        <v/>
      </c>
    </row>
    <row r="49">
      <c r="C49" s="49" t="str">
        <f>IF(C48="","",IF(C48+1&gt;MAX(tblData[Дата]),"",C48+1))</f>
        <v/>
      </c>
    </row>
    <row r="50">
      <c r="C50" s="49" t="str">
        <f>IF(C49="","",IF(C49+1&gt;MAX(tblData[Дата]),"",C49+1))</f>
        <v/>
      </c>
    </row>
    <row r="51">
      <c r="C51" s="49" t="str">
        <f>IF(C50="","",IF(C50+1&gt;MAX(tblData[Дата]),"",C50+1))</f>
        <v/>
      </c>
    </row>
    <row r="52">
      <c r="C52" s="49" t="str">
        <f>IF(C51="","",IF(C51+1&gt;MAX(tblData[Дата]),"",C51+1))</f>
        <v/>
      </c>
    </row>
    <row r="53">
      <c r="C53" s="49" t="str">
        <f>IF(C52="","",IF(C52+1&gt;MAX(tblData[Дата]),"",C52+1))</f>
        <v/>
      </c>
    </row>
    <row r="54">
      <c r="C54" s="49" t="str">
        <f>IF(C53="","",IF(C53+1&gt;MAX(tblData[Дата]),"",C53+1))</f>
        <v/>
      </c>
    </row>
    <row r="55">
      <c r="C55" s="49" t="str">
        <f>IF(C54="","",IF(C54+1&gt;MAX(tblData[Дата]),"",C54+1))</f>
        <v/>
      </c>
    </row>
    <row r="56">
      <c r="C56" s="49" t="str">
        <f>IF(C55="","",IF(C55+1&gt;MAX(tblData[Дата]),"",C55+1))</f>
        <v/>
      </c>
    </row>
    <row r="57">
      <c r="C57" s="49" t="str">
        <f>IF(C56="","",IF(C56+1&gt;MAX(tblData[Дата]),"",C56+1))</f>
        <v/>
      </c>
    </row>
    <row r="58">
      <c r="C58" s="49" t="str">
        <f>IF(C57="","",IF(C57+1&gt;MAX(tblData[Дата]),"",C57+1))</f>
        <v/>
      </c>
    </row>
    <row r="59">
      <c r="C59" s="49" t="str">
        <f>IF(C58="","",IF(C58+1&gt;MAX(tblData[Дата]),"",C58+1))</f>
        <v/>
      </c>
    </row>
    <row r="60">
      <c r="C60" s="49" t="str">
        <f>IF(C59="","",IF(C59+1&gt;MAX(tblData[Дата]),"",C59+1))</f>
        <v/>
      </c>
    </row>
    <row r="61">
      <c r="C61" s="49" t="str">
        <f>IF(C60="","",IF(C60+1&gt;MAX(tblData[Дата]),"",C60+1))</f>
        <v/>
      </c>
    </row>
    <row r="62">
      <c r="C62" s="49" t="str">
        <f>IF(C61="","",IF(C61+1&gt;MAX(tblData[Дата]),"",C61+1))</f>
        <v/>
      </c>
    </row>
    <row r="63">
      <c r="C63" s="49" t="str">
        <f>IF(C62="","",IF(C62+1&gt;MAX(tblData[Дата]),"",C62+1))</f>
        <v/>
      </c>
    </row>
    <row r="64">
      <c r="C64" s="49" t="str">
        <f>IF(C63="","",IF(C63+1&gt;MAX(tblData[Дата]),"",C63+1))</f>
        <v/>
      </c>
    </row>
    <row r="65">
      <c r="C65" s="49" t="str">
        <f>IF(C64="","",IF(C64+1&gt;MAX(tblData[Дата]),"",C64+1))</f>
        <v/>
      </c>
    </row>
    <row r="66">
      <c r="C66" s="49" t="str">
        <f>IF(C65="","",IF(C65+1&gt;MAX(tblData[Дата]),"",C65+1))</f>
        <v/>
      </c>
    </row>
    <row r="67">
      <c r="C67" s="49" t="str">
        <f>IF(C66="","",IF(C66+1&gt;MAX(tblData[Дата]),"",C66+1))</f>
        <v/>
      </c>
    </row>
    <row r="68">
      <c r="C68" s="49" t="str">
        <f>IF(C67="","",IF(C67+1&gt;MAX(tblData[Дата]),"",C67+1))</f>
        <v/>
      </c>
    </row>
    <row r="69">
      <c r="C69" s="49" t="str">
        <f>IF(C68="","",IF(C68+1&gt;MAX(tblData[Дата]),"",C68+1))</f>
        <v/>
      </c>
    </row>
    <row r="70">
      <c r="C70" s="49" t="str">
        <f>IF(C69="","",IF(C69+1&gt;MAX(tblData[Дата]),"",C69+1))</f>
        <v/>
      </c>
    </row>
    <row r="71">
      <c r="C71" s="49" t="str">
        <f>IF(C70="","",IF(C70+1&gt;MAX(tblData[Дата]),"",C70+1))</f>
        <v/>
      </c>
    </row>
    <row r="72">
      <c r="C72" s="49" t="str">
        <f>IF(C71="","",IF(C71+1&gt;MAX(tblData[Дата]),"",C71+1))</f>
        <v/>
      </c>
    </row>
    <row r="73">
      <c r="C73" s="49" t="str">
        <f>IF(C72="","",IF(C72+1&gt;MAX(tblData[Дата]),"",C72+1))</f>
        <v/>
      </c>
    </row>
    <row r="74">
      <c r="C74" s="49" t="str">
        <f>IF(C73="","",IF(C73+1&gt;MAX(tblData[Дата]),"",C73+1))</f>
        <v/>
      </c>
    </row>
    <row r="75">
      <c r="C75" s="49" t="str">
        <f>IF(C74="","",IF(C74+1&gt;MAX(tblData[Дата]),"",C74+1))</f>
        <v/>
      </c>
    </row>
    <row r="76">
      <c r="C76" s="49" t="str">
        <f>IF(C75="","",IF(C75+1&gt;MAX(tblData[Дата]),"",C75+1))</f>
        <v/>
      </c>
    </row>
    <row r="77">
      <c r="C77" s="49" t="str">
        <f>IF(C76="","",IF(C76+1&gt;MAX(tblData[Дата]),"",C76+1))</f>
        <v/>
      </c>
    </row>
    <row r="78">
      <c r="C78" s="49" t="str">
        <f>IF(C77="","",IF(C77+1&gt;MAX(tblData[Дата]),"",C77+1))</f>
        <v/>
      </c>
    </row>
    <row r="79">
      <c r="C79" s="49" t="str">
        <f>IF(C78="","",IF(C78+1&gt;MAX(tblData[Дата]),"",C78+1))</f>
        <v/>
      </c>
    </row>
    <row r="80">
      <c r="C80" s="49" t="str">
        <f>IF(C79="","",IF(C79+1&gt;MAX(tblData[Дата]),"",C79+1))</f>
        <v/>
      </c>
    </row>
    <row r="81">
      <c r="C81" s="49" t="str">
        <f>IF(C80="","",IF(C80+1&gt;MAX(tblData[Дата]),"",C80+1))</f>
        <v/>
      </c>
    </row>
    <row r="82">
      <c r="C82" s="49" t="str">
        <f>IF(C81="","",IF(C81+1&gt;MAX(tblData[Дата]),"",C81+1))</f>
        <v/>
      </c>
    </row>
    <row r="83">
      <c r="C83" s="49" t="str">
        <f>IF(C82="","",IF(C82+1&gt;MAX(tblData[Дата]),"",C82+1))</f>
        <v/>
      </c>
    </row>
    <row r="84">
      <c r="C84" s="49" t="str">
        <f>IF(C83="","",IF(C83+1&gt;MAX(tblData[Дата]),"",C83+1))</f>
        <v/>
      </c>
    </row>
    <row r="85">
      <c r="C85" s="49" t="str">
        <f>IF(C84="","",IF(C84+1&gt;MAX(tblData[Дата]),"",C84+1))</f>
        <v/>
      </c>
    </row>
    <row r="86">
      <c r="C86" s="49" t="str">
        <f>IF(C85="","",IF(C85+1&gt;MAX(tblData[Дата]),"",C85+1))</f>
        <v/>
      </c>
    </row>
    <row r="87">
      <c r="C87" s="49" t="str">
        <f>IF(C86="","",IF(C86+1&gt;MAX(tblData[Дата]),"",C86+1))</f>
        <v/>
      </c>
    </row>
    <row r="88">
      <c r="C88" s="49" t="str">
        <f>IF(C87="","",IF(C87+1&gt;MAX(tblData[Дата]),"",C87+1))</f>
        <v/>
      </c>
    </row>
    <row r="89">
      <c r="C89" s="49" t="str">
        <f>IF(C88="","",IF(C88+1&gt;MAX(tblData[Дата]),"",C88+1))</f>
        <v/>
      </c>
    </row>
    <row r="90">
      <c r="C90" s="49" t="str">
        <f>IF(C89="","",IF(C89+1&gt;MAX(tblData[Дата]),"",C89+1))</f>
        <v/>
      </c>
    </row>
    <row r="91">
      <c r="C91" s="49" t="str">
        <f>IF(C90="","",IF(C90+1&gt;MAX(tblData[Дата]),"",C90+1))</f>
        <v/>
      </c>
    </row>
    <row r="92">
      <c r="C92" s="49" t="str">
        <f>IF(C91="","",IF(C91+1&gt;MAX(tblData[Дата]),"",C91+1))</f>
        <v/>
      </c>
    </row>
    <row r="93">
      <c r="C93" s="49" t="str">
        <f>IF(C92="","",IF(C92+1&gt;MAX(tblData[Дата]),"",C92+1))</f>
        <v/>
      </c>
    </row>
    <row r="94">
      <c r="C94" s="49" t="str">
        <f>IF(C93="","",IF(C93+1&gt;MAX(tblData[Дата]),"",C93+1))</f>
        <v/>
      </c>
    </row>
    <row r="95">
      <c r="C95" s="49" t="str">
        <f>IF(C94="","",IF(C94+1&gt;MAX(tblData[Дата]),"",C94+1))</f>
        <v/>
      </c>
    </row>
    <row r="96">
      <c r="C96" s="49" t="str">
        <f>IF(C95="","",IF(C95+1&gt;MAX(tblData[Дата]),"",C95+1))</f>
        <v/>
      </c>
    </row>
    <row r="97">
      <c r="C97" s="49" t="str">
        <f>IF(C96="","",IF(C96+1&gt;MAX(tblData[Дата]),"",C96+1))</f>
        <v/>
      </c>
    </row>
    <row r="98">
      <c r="C98" s="49" t="str">
        <f>IF(C97="","",IF(C97+1&gt;MAX(tblData[Дата]),"",C97+1))</f>
        <v/>
      </c>
    </row>
    <row r="99">
      <c r="C99" s="49" t="str">
        <f>IF(C98="","",IF(C98+1&gt;MAX(tblData[Дата]),"",C98+1))</f>
        <v/>
      </c>
    </row>
    <row r="100">
      <c r="C100" s="49" t="str">
        <f>IF(C99="","",IF(C99+1&gt;MAX(tblData[Дата]),"",C99+1))</f>
        <v/>
      </c>
    </row>
    <row r="101">
      <c r="C101" s="49" t="str">
        <f>IF(C100="","",IF(C100+1&gt;MAX(tblData[Дата]),"",C100+1))</f>
        <v/>
      </c>
    </row>
    <row r="102">
      <c r="C102" s="49" t="str">
        <f>IF(C101="","",IF(C101+1&gt;MAX(tblData[Дата]),"",C101+1))</f>
        <v/>
      </c>
    </row>
    <row r="103">
      <c r="C103" s="49" t="str">
        <f>IF(C102="","",IF(C102+1&gt;MAX(tblData[Дата]),"",C102+1))</f>
        <v/>
      </c>
    </row>
    <row r="104">
      <c r="C104" s="49" t="str">
        <f>IF(C103="","",IF(C103+1&gt;MAX(tblData[Дата]),"",C103+1))</f>
        <v/>
      </c>
    </row>
    <row r="105">
      <c r="C105" s="49" t="str">
        <f>IF(C104="","",IF(C104+1&gt;MAX(tblData[Дата]),"",C104+1))</f>
        <v/>
      </c>
    </row>
    <row r="106">
      <c r="C106" s="49" t="str">
        <f>IF(C105="","",IF(C105+1&gt;MAX(tblData[Дата]),"",C105+1))</f>
        <v/>
      </c>
    </row>
    <row r="107">
      <c r="C107" s="49" t="str">
        <f>IF(C106="","",IF(C106+1&gt;MAX(tblData[Дата]),"",C106+1))</f>
        <v/>
      </c>
    </row>
    <row r="108">
      <c r="C108" s="49" t="str">
        <f>IF(C107="","",IF(C107+1&gt;MAX(tblData[Дата]),"",C107+1))</f>
        <v/>
      </c>
    </row>
    <row r="109">
      <c r="C109" s="49" t="str">
        <f>IF(C108="","",IF(C108+1&gt;MAX(tblData[Дата]),"",C108+1))</f>
        <v/>
      </c>
    </row>
    <row r="110">
      <c r="C110" s="49" t="str">
        <f>IF(C109="","",IF(C109+1&gt;MAX(tblData[Дата]),"",C109+1))</f>
        <v/>
      </c>
    </row>
    <row r="111">
      <c r="C111" s="49" t="str">
        <f>IF(C110="","",IF(C110+1&gt;MAX(tblData[Дата]),"",C110+1))</f>
        <v/>
      </c>
    </row>
    <row r="112">
      <c r="C112" s="49" t="str">
        <f>IF(C111="","",IF(C111+1&gt;MAX(tblData[Дата]),"",C111+1))</f>
        <v/>
      </c>
    </row>
    <row r="113">
      <c r="C113" s="49" t="str">
        <f>IF(C112="","",IF(C112+1&gt;MAX(tblData[Дата]),"",C112+1))</f>
        <v/>
      </c>
    </row>
    <row r="114">
      <c r="C114" s="49" t="str">
        <f>IF(C113="","",IF(C113+1&gt;MAX(tblData[Дата]),"",C113+1))</f>
        <v/>
      </c>
    </row>
    <row r="115">
      <c r="C115" s="49" t="str">
        <f>IF(C114="","",IF(C114+1&gt;MAX(tblData[Дата]),"",C114+1))</f>
        <v/>
      </c>
    </row>
    <row r="116">
      <c r="C116" s="49" t="str">
        <f>IF(C115="","",IF(C115+1&gt;MAX(tblData[Дата]),"",C115+1))</f>
        <v/>
      </c>
    </row>
    <row r="117">
      <c r="C117" s="49" t="str">
        <f>IF(C116="","",IF(C116+1&gt;MAX(tblData[Дата]),"",C116+1))</f>
        <v/>
      </c>
    </row>
    <row r="118">
      <c r="C118" s="49" t="str">
        <f>IF(C117="","",IF(C117+1&gt;MAX(tblData[Дата]),"",C117+1))</f>
        <v/>
      </c>
    </row>
    <row r="119">
      <c r="C119" s="49" t="str">
        <f>IF(C118="","",IF(C118+1&gt;MAX(tblData[Дата]),"",C118+1))</f>
        <v/>
      </c>
    </row>
    <row r="120">
      <c r="C120" s="49" t="str">
        <f>IF(C119="","",IF(C119+1&gt;MAX(tblData[Дата]),"",C119+1))</f>
        <v/>
      </c>
    </row>
    <row r="121">
      <c r="C121" s="49" t="str">
        <f>IF(C120="","",IF(C120+1&gt;MAX(tblData[Дата]),"",C120+1))</f>
        <v/>
      </c>
    </row>
    <row r="122">
      <c r="C122" s="49" t="str">
        <f>IF(C121="","",IF(C121+1&gt;MAX(tblData[Дата]),"",C121+1))</f>
        <v/>
      </c>
    </row>
    <row r="123">
      <c r="C123" s="49" t="str">
        <f>IF(C122="","",IF(C122+1&gt;MAX(tblData[Дата]),"",C122+1))</f>
        <v/>
      </c>
    </row>
    <row r="124">
      <c r="C124" s="49" t="str">
        <f>IF(C123="","",IF(C123+1&gt;MAX(tblData[Дата]),"",C123+1))</f>
        <v/>
      </c>
    </row>
    <row r="125">
      <c r="C125" s="49" t="str">
        <f>IF(C124="","",IF(C124+1&gt;MAX(tblData[Дата]),"",C124+1))</f>
        <v/>
      </c>
    </row>
    <row r="126">
      <c r="C126" s="49" t="str">
        <f>IF(C125="","",IF(C125+1&gt;MAX(tblData[Дата]),"",C125+1))</f>
        <v/>
      </c>
    </row>
    <row r="127">
      <c r="C127" s="49" t="str">
        <f>IF(C126="","",IF(C126+1&gt;MAX(tblData[Дата]),"",C126+1))</f>
        <v/>
      </c>
    </row>
    <row r="128">
      <c r="C128" s="49" t="str">
        <f>IF(C127="","",IF(C127+1&gt;MAX(tblData[Дата]),"",C127+1))</f>
        <v/>
      </c>
    </row>
    <row r="129">
      <c r="C129" s="49" t="str">
        <f>IF(C128="","",IF(C128+1&gt;MAX(tblData[Дата]),"",C128+1))</f>
        <v/>
      </c>
    </row>
    <row r="130">
      <c r="C130" s="49" t="str">
        <f>IF(C129="","",IF(C129+1&gt;MAX(tblData[Дата]),"",C129+1))</f>
        <v/>
      </c>
    </row>
    <row r="131">
      <c r="C131" s="49" t="str">
        <f>IF(C130="","",IF(C130+1&gt;MAX(tblData[Дата]),"",C130+1))</f>
        <v/>
      </c>
    </row>
    <row r="132">
      <c r="C132" s="49" t="str">
        <f>IF(C131="","",IF(C131+1&gt;MAX(tblData[Дата]),"",C131+1))</f>
        <v/>
      </c>
    </row>
    <row r="133">
      <c r="C133" s="49" t="str">
        <f>IF(C132="","",IF(C132+1&gt;MAX(tblData[Дата]),"",C132+1))</f>
        <v/>
      </c>
    </row>
    <row r="134">
      <c r="C134" s="49" t="str">
        <f>IF(C133="","",IF(C133+1&gt;MAX(tblData[Дата]),"",C133+1))</f>
        <v/>
      </c>
    </row>
    <row r="135">
      <c r="C135" s="49" t="str">
        <f>IF(C134="","",IF(C134+1&gt;MAX(tblData[Дата]),"",C134+1))</f>
        <v/>
      </c>
    </row>
    <row r="136">
      <c r="C136" s="49" t="str">
        <f>IF(C135="","",IF(C135+1&gt;MAX(tblData[Дата]),"",C135+1))</f>
        <v/>
      </c>
    </row>
    <row r="137">
      <c r="C137" s="49" t="str">
        <f>IF(C136="","",IF(C136+1&gt;MAX(tblData[Дата]),"",C136+1))</f>
        <v/>
      </c>
    </row>
    <row r="138">
      <c r="C138" s="49" t="str">
        <f>IF(C137="","",IF(C137+1&gt;MAX(tblData[Дата]),"",C137+1))</f>
        <v/>
      </c>
    </row>
    <row r="139">
      <c r="C139" s="49" t="str">
        <f>IF(C138="","",IF(C138+1&gt;MAX(tblData[Дата]),"",C138+1))</f>
        <v/>
      </c>
    </row>
    <row r="140">
      <c r="C140" s="49" t="str">
        <f>IF(C139="","",IF(C139+1&gt;MAX(tblData[Дата]),"",C139+1))</f>
        <v/>
      </c>
    </row>
    <row r="141">
      <c r="C141" s="49" t="str">
        <f>IF(C140="","",IF(C140+1&gt;MAX(tblData[Дата]),"",C140+1))</f>
        <v/>
      </c>
    </row>
    <row r="142">
      <c r="C142" s="49" t="str">
        <f>IF(C141="","",IF(C141+1&gt;MAX(tblData[Дата]),"",C141+1))</f>
        <v/>
      </c>
    </row>
    <row r="143">
      <c r="C143" s="49" t="str">
        <f>IF(C142="","",IF(C142+1&gt;MAX(tblData[Дата]),"",C142+1))</f>
        <v/>
      </c>
    </row>
    <row r="144">
      <c r="C144" s="49" t="str">
        <f>IF(C143="","",IF(C143+1&gt;MAX(tblData[Дата]),"",C143+1))</f>
        <v/>
      </c>
    </row>
    <row r="145">
      <c r="C145" s="49" t="str">
        <f>IF(C144="","",IF(C144+1&gt;MAX(tblData[Дата]),"",C144+1))</f>
        <v/>
      </c>
    </row>
    <row r="146">
      <c r="C146" s="49" t="str">
        <f>IF(C145="","",IF(C145+1&gt;MAX(tblData[Дата]),"",C145+1))</f>
        <v/>
      </c>
    </row>
    <row r="147">
      <c r="C147" s="49" t="str">
        <f>IF(C146="","",IF(C146+1&gt;MAX(tblData[Дата]),"",C146+1))</f>
        <v/>
      </c>
    </row>
    <row r="148">
      <c r="C148" s="49" t="str">
        <f>IF(C147="","",IF(C147+1&gt;MAX(tblData[Дата]),"",C147+1))</f>
        <v/>
      </c>
    </row>
    <row r="149">
      <c r="C149" s="49" t="str">
        <f>IF(C148="","",IF(C148+1&gt;MAX(tblData[Дата]),"",C148+1))</f>
        <v/>
      </c>
    </row>
    <row r="150">
      <c r="C150" s="49" t="str">
        <f>IF(C149="","",IF(C149+1&gt;MAX(tblData[Дата]),"",C149+1))</f>
        <v/>
      </c>
    </row>
    <row r="151">
      <c r="C151" s="49" t="str">
        <f>IF(C150="","",IF(C150+1&gt;MAX(tblData[Дата]),"",C150+1))</f>
        <v/>
      </c>
    </row>
    <row r="152">
      <c r="C152" s="49" t="str">
        <f>IF(C151="","",IF(C151+1&gt;MAX(tblData[Дата]),"",C151+1))</f>
        <v/>
      </c>
    </row>
    <row r="153">
      <c r="C153" s="49" t="str">
        <f>IF(C152="","",IF(C152+1&gt;MAX(tblData[Дата]),"",C152+1))</f>
        <v/>
      </c>
    </row>
    <row r="154">
      <c r="C154" s="49" t="str">
        <f>IF(C153="","",IF(C153+1&gt;MAX(tblData[Дата]),"",C153+1))</f>
        <v/>
      </c>
    </row>
    <row r="155">
      <c r="C155" s="49" t="str">
        <f>IF(C154="","",IF(C154+1&gt;MAX(tblData[Дата]),"",C154+1))</f>
        <v/>
      </c>
    </row>
    <row r="156">
      <c r="C156" s="49" t="str">
        <f>IF(C155="","",IF(C155+1&gt;MAX(tblData[Дата]),"",C155+1))</f>
        <v/>
      </c>
    </row>
    <row r="157">
      <c r="C157" s="49" t="str">
        <f>IF(C156="","",IF(C156+1&gt;MAX(tblData[Дата]),"",C156+1))</f>
        <v/>
      </c>
    </row>
    <row r="158">
      <c r="C158" s="49" t="str">
        <f>IF(C157="","",IF(C157+1&gt;MAX(tblData[Дата]),"",C157+1))</f>
        <v/>
      </c>
    </row>
    <row r="159">
      <c r="C159" s="49" t="str">
        <f>IF(C158="","",IF(C158+1&gt;MAX(tblData[Дата]),"",C158+1))</f>
        <v/>
      </c>
    </row>
    <row r="160">
      <c r="C160" s="49" t="str">
        <f>IF(C159="","",IF(C159+1&gt;MAX(tblData[Дата]),"",C159+1))</f>
        <v/>
      </c>
    </row>
    <row r="161">
      <c r="C161" s="49" t="str">
        <f>IF(C160="","",IF(C160+1&gt;MAX(tblData[Дата]),"",C160+1))</f>
        <v/>
      </c>
    </row>
    <row r="162">
      <c r="C162" s="49" t="str">
        <f>IF(C161="","",IF(C161+1&gt;MAX(tblData[Дата]),"",C161+1))</f>
        <v/>
      </c>
    </row>
    <row r="163">
      <c r="C163" s="49" t="str">
        <f>IF(C162="","",IF(C162+1&gt;MAX(tblData[Дата]),"",C162+1))</f>
        <v/>
      </c>
    </row>
    <row r="164">
      <c r="C164" s="49" t="str">
        <f>IF(C163="","",IF(C163+1&gt;MAX(tblData[Дата]),"",C163+1))</f>
        <v/>
      </c>
    </row>
    <row r="165">
      <c r="C165" s="49" t="str">
        <f>IF(C164="","",IF(C164+1&gt;MAX(tblData[Дата]),"",C164+1))</f>
        <v/>
      </c>
    </row>
    <row r="166">
      <c r="C166" s="49" t="str">
        <f>IF(C165="","",IF(C165+1&gt;MAX(tblData[Дата]),"",C165+1))</f>
        <v/>
      </c>
    </row>
    <row r="167">
      <c r="C167" s="49" t="str">
        <f>IF(C166="","",IF(C166+1&gt;MAX(tblData[Дата]),"",C166+1))</f>
        <v/>
      </c>
    </row>
    <row r="168">
      <c r="C168" s="49" t="str">
        <f>IF(C167="","",IF(C167+1&gt;MAX(tblData[Дата]),"",C167+1))</f>
        <v/>
      </c>
    </row>
    <row r="169">
      <c r="C169" s="49" t="str">
        <f>IF(C168="","",IF(C168+1&gt;MAX(tblData[Дата]),"",C168+1))</f>
        <v/>
      </c>
    </row>
    <row r="170">
      <c r="C170" s="49" t="str">
        <f>IF(C169="","",IF(C169+1&gt;MAX(tblData[Дата]),"",C169+1))</f>
        <v/>
      </c>
    </row>
    <row r="171">
      <c r="C171" s="49" t="str">
        <f>IF(C170="","",IF(C170+1&gt;MAX(tblData[Дата]),"",C170+1))</f>
        <v/>
      </c>
    </row>
    <row r="172">
      <c r="C172" s="49" t="str">
        <f>IF(C171="","",IF(C171+1&gt;MAX(tblData[Дата]),"",C171+1))</f>
        <v/>
      </c>
    </row>
    <row r="173">
      <c r="C173" s="49" t="str">
        <f>IF(C172="","",IF(C172+1&gt;MAX(tblData[Дата]),"",C172+1))</f>
        <v/>
      </c>
    </row>
    <row r="174">
      <c r="C174" s="49" t="str">
        <f>IF(C173="","",IF(C173+1&gt;MAX(tblData[Дата]),"",C173+1))</f>
        <v/>
      </c>
    </row>
    <row r="175">
      <c r="C175" s="49" t="str">
        <f>IF(C174="","",IF(C174+1&gt;MAX(tblData[Дата]),"",C174+1))</f>
        <v/>
      </c>
    </row>
    <row r="176">
      <c r="C176" s="49" t="str">
        <f>IF(C175="","",IF(C175+1&gt;MAX(tblData[Дата]),"",C175+1))</f>
        <v/>
      </c>
    </row>
    <row r="177">
      <c r="C177" s="49" t="str">
        <f>IF(C176="","",IF(C176+1&gt;MAX(tblData[Дата]),"",C176+1))</f>
        <v/>
      </c>
    </row>
    <row r="178">
      <c r="C178" s="49" t="str">
        <f>IF(C177="","",IF(C177+1&gt;MAX(tblData[Дата]),"",C177+1))</f>
        <v/>
      </c>
    </row>
    <row r="179">
      <c r="C179" s="49" t="str">
        <f>IF(C178="","",IF(C178+1&gt;MAX(tblData[Дата]),"",C178+1))</f>
        <v/>
      </c>
    </row>
    <row r="180">
      <c r="C180" s="49" t="str">
        <f>IF(C179="","",IF(C179+1&gt;MAX(tblData[Дата]),"",C179+1))</f>
        <v/>
      </c>
    </row>
    <row r="181">
      <c r="C181" s="49" t="str">
        <f>IF(C180="","",IF(C180+1&gt;MAX(tblData[Дата]),"",C180+1))</f>
        <v/>
      </c>
    </row>
    <row r="182">
      <c r="C182" s="49" t="str">
        <f>IF(C181="","",IF(C181+1&gt;MAX(tblData[Дата]),"",C181+1))</f>
        <v/>
      </c>
    </row>
    <row r="183">
      <c r="C183" s="49" t="str">
        <f>IF(C182="","",IF(C182+1&gt;MAX(tblData[Дата]),"",C182+1))</f>
        <v/>
      </c>
    </row>
    <row r="184">
      <c r="C184" s="49" t="str">
        <f>IF(C183="","",IF(C183+1&gt;MAX(tblData[Дата]),"",C183+1))</f>
        <v/>
      </c>
    </row>
    <row r="185">
      <c r="C185" s="49" t="str">
        <f>IF(C184="","",IF(C184+1&gt;MAX(tblData[Дата]),"",C184+1))</f>
        <v/>
      </c>
    </row>
    <row r="186">
      <c r="C186" s="49" t="str">
        <f>IF(C185="","",IF(C185+1&gt;MAX(tblData[Дата]),"",C185+1))</f>
        <v/>
      </c>
    </row>
    <row r="187">
      <c r="C187" s="49" t="str">
        <f>IF(C186="","",IF(C186+1&gt;MAX(tblData[Дата]),"",C186+1))</f>
        <v/>
      </c>
    </row>
    <row r="188">
      <c r="C188" s="49" t="str">
        <f>IF(C187="","",IF(C187+1&gt;MAX(tblData[Дата]),"",C187+1))</f>
        <v/>
      </c>
    </row>
    <row r="189">
      <c r="C189" s="49" t="str">
        <f>IF(C188="","",IF(C188+1&gt;MAX(tblData[Дата]),"",C188+1))</f>
        <v/>
      </c>
    </row>
    <row r="190">
      <c r="C190" s="49" t="str">
        <f>IF(C189="","",IF(C189+1&gt;MAX(tblData[Дата]),"",C189+1))</f>
        <v/>
      </c>
    </row>
    <row r="191">
      <c r="C191" s="49" t="str">
        <f>IF(C190="","",IF(C190+1&gt;MAX(tblData[Дата]),"",C190+1))</f>
        <v/>
      </c>
    </row>
    <row r="192">
      <c r="C192" s="49" t="str">
        <f>IF(C191="","",IF(C191+1&gt;MAX(tblData[Дата]),"",C191+1))</f>
        <v/>
      </c>
    </row>
    <row r="193">
      <c r="C193" s="49" t="str">
        <f>IF(C192="","",IF(C192+1&gt;MAX(tblData[Дата]),"",C192+1))</f>
        <v/>
      </c>
    </row>
    <row r="194">
      <c r="C194" s="49" t="str">
        <f>IF(C193="","",IF(C193+1&gt;MAX(tblData[Дата]),"",C193+1))</f>
        <v/>
      </c>
    </row>
    <row r="195">
      <c r="C195" s="49" t="str">
        <f>IF(C194="","",IF(C194+1&gt;MAX(tblData[Дата]),"",C194+1))</f>
        <v/>
      </c>
    </row>
    <row r="196">
      <c r="C196" s="49" t="str">
        <f>IF(C195="","",IF(C195+1&gt;MAX(tblData[Дата]),"",C195+1))</f>
        <v/>
      </c>
    </row>
    <row r="197">
      <c r="C197" s="49" t="str">
        <f>IF(C196="","",IF(C196+1&gt;MAX(tblData[Дата]),"",C196+1))</f>
        <v/>
      </c>
    </row>
    <row r="198">
      <c r="C198" s="49" t="str">
        <f>IF(C197="","",IF(C197+1&gt;MAX(tblData[Дата]),"",C197+1))</f>
        <v/>
      </c>
    </row>
    <row r="199">
      <c r="C199" s="49" t="str">
        <f>IF(C198="","",IF(C198+1&gt;MAX(tblData[Дата]),"",C198+1))</f>
        <v/>
      </c>
    </row>
    <row r="200">
      <c r="C200" s="49" t="str">
        <f>IF(C199="","",IF(C199+1&gt;MAX(tblData[Дата]),"",C199+1))</f>
        <v/>
      </c>
    </row>
    <row r="201">
      <c r="C201" s="49" t="str">
        <f>IF(C200="","",IF(C200+1&gt;MAX(tblData[Дата]),"",C200+1))</f>
        <v/>
      </c>
    </row>
    <row r="202">
      <c r="C202" s="49" t="str">
        <f>IF(C201="","",IF(C201+1&gt;MAX(tblData[Дата]),"",C201+1))</f>
        <v/>
      </c>
    </row>
    <row r="203">
      <c r="C203" s="49" t="str">
        <f>IF(C202="","",IF(C202+1&gt;MAX(tblData[Дата]),"",C202+1))</f>
        <v/>
      </c>
    </row>
    <row r="204">
      <c r="C204" s="49" t="str">
        <f>IF(C203="","",IF(C203+1&gt;MAX(tblData[Дата]),"",C203+1))</f>
        <v/>
      </c>
    </row>
    <row r="205">
      <c r="C205" s="49" t="str">
        <f>IF(C204="","",IF(C204+1&gt;MAX(tblData[Дата]),"",C204+1))</f>
        <v/>
      </c>
    </row>
    <row r="206">
      <c r="C206" s="49" t="str">
        <f>IF(C205="","",IF(C205+1&gt;MAX(tblData[Дата]),"",C205+1))</f>
        <v/>
      </c>
    </row>
    <row r="207">
      <c r="C207" s="49" t="str">
        <f>IF(C206="","",IF(C206+1&gt;MAX(tblData[Дата]),"",C206+1))</f>
        <v/>
      </c>
    </row>
    <row r="208">
      <c r="C208" s="49" t="str">
        <f>IF(C207="","",IF(C207+1&gt;MAX(tblData[Дата]),"",C207+1))</f>
        <v/>
      </c>
    </row>
    <row r="209">
      <c r="C209" s="49" t="str">
        <f>IF(C208="","",IF(C208+1&gt;MAX(tblData[Дата]),"",C208+1))</f>
        <v/>
      </c>
    </row>
    <row r="210">
      <c r="C210" s="49" t="str">
        <f>IF(C209="","",IF(C209+1&gt;MAX(tblData[Дата]),"",C209+1))</f>
        <v/>
      </c>
    </row>
    <row r="211">
      <c r="C211" s="49" t="str">
        <f>IF(C210="","",IF(C210+1&gt;MAX(tblData[Дата]),"",C210+1))</f>
        <v/>
      </c>
    </row>
    <row r="212">
      <c r="C212" s="49" t="str">
        <f>IF(C211="","",IF(C211+1&gt;MAX(tblData[Дата]),"",C211+1))</f>
        <v/>
      </c>
    </row>
    <row r="213">
      <c r="C213" s="49" t="str">
        <f>IF(C212="","",IF(C212+1&gt;MAX(tblData[Дата]),"",C212+1))</f>
        <v/>
      </c>
    </row>
    <row r="214">
      <c r="C214" s="49" t="str">
        <f>IF(C213="","",IF(C213+1&gt;MAX(tblData[Дата]),"",C213+1))</f>
        <v/>
      </c>
    </row>
    <row r="215">
      <c r="C215" s="49" t="str">
        <f>IF(C214="","",IF(C214+1&gt;MAX(tblData[Дата]),"",C214+1))</f>
        <v/>
      </c>
    </row>
    <row r="216">
      <c r="C216" s="49" t="str">
        <f>IF(C215="","",IF(C215+1&gt;MAX(tblData[Дата]),"",C215+1))</f>
        <v/>
      </c>
    </row>
    <row r="217">
      <c r="C217" s="49" t="str">
        <f>IF(C216="","",IF(C216+1&gt;MAX(tblData[Дата]),"",C216+1))</f>
        <v/>
      </c>
    </row>
    <row r="218">
      <c r="C218" s="49" t="str">
        <f>IF(C217="","",IF(C217+1&gt;MAX(tblData[Дата]),"",C217+1))</f>
        <v/>
      </c>
    </row>
    <row r="219">
      <c r="C219" s="49" t="str">
        <f>IF(C218="","",IF(C218+1&gt;MAX(tblData[Дата]),"",C218+1))</f>
        <v/>
      </c>
    </row>
    <row r="220">
      <c r="C220" s="49" t="str">
        <f>IF(C219="","",IF(C219+1&gt;MAX(tblData[Дата]),"",C219+1))</f>
        <v/>
      </c>
    </row>
    <row r="221">
      <c r="C221" s="49" t="str">
        <f>IF(C220="","",IF(C220+1&gt;MAX(tblData[Дата]),"",C220+1))</f>
        <v/>
      </c>
    </row>
    <row r="222">
      <c r="C222" s="49" t="str">
        <f>IF(C221="","",IF(C221+1&gt;MAX(tblData[Дата]),"",C221+1))</f>
        <v/>
      </c>
    </row>
    <row r="223">
      <c r="C223" s="49" t="str">
        <f>IF(C222="","",IF(C222+1&gt;MAX(tblData[Дата]),"",C222+1))</f>
        <v/>
      </c>
    </row>
    <row r="224">
      <c r="C224" s="49" t="str">
        <f>IF(C223="","",IF(C223+1&gt;MAX(tblData[Дата]),"",C223+1))</f>
        <v/>
      </c>
    </row>
    <row r="225">
      <c r="C225" s="49" t="str">
        <f>IF(C224="","",IF(C224+1&gt;MAX(tblData[Дата]),"",C224+1))</f>
        <v/>
      </c>
    </row>
    <row r="226">
      <c r="C226" s="49" t="str">
        <f>IF(C225="","",IF(C225+1&gt;MAX(tblData[Дата]),"",C225+1))</f>
        <v/>
      </c>
    </row>
    <row r="227">
      <c r="C227" s="49" t="str">
        <f>IF(C226="","",IF(C226+1&gt;MAX(tblData[Дата]),"",C226+1))</f>
        <v/>
      </c>
    </row>
    <row r="228">
      <c r="C228" s="49" t="str">
        <f>IF(C227="","",IF(C227+1&gt;MAX(tblData[Дата]),"",C227+1))</f>
        <v/>
      </c>
    </row>
    <row r="229">
      <c r="C229" s="49" t="str">
        <f>IF(C228="","",IF(C228+1&gt;MAX(tblData[Дата]),"",C228+1))</f>
        <v/>
      </c>
    </row>
    <row r="230">
      <c r="C230" s="49" t="str">
        <f>IF(C229="","",IF(C229+1&gt;MAX(tblData[Дата]),"",C229+1))</f>
        <v/>
      </c>
    </row>
    <row r="231">
      <c r="C231" s="49" t="str">
        <f>IF(C230="","",IF(C230+1&gt;MAX(tblData[Дата]),"",C230+1))</f>
        <v/>
      </c>
    </row>
    <row r="232">
      <c r="C232" s="49" t="str">
        <f>IF(C231="","",IF(C231+1&gt;MAX(tblData[Дата]),"",C231+1))</f>
        <v/>
      </c>
    </row>
    <row r="233">
      <c r="C233" s="49" t="str">
        <f>IF(C232="","",IF(C232+1&gt;MAX(tblData[Дата]),"",C232+1))</f>
        <v/>
      </c>
    </row>
    <row r="234">
      <c r="C234" s="49" t="str">
        <f>IF(C233="","",IF(C233+1&gt;MAX(tblData[Дата]),"",C233+1))</f>
        <v/>
      </c>
    </row>
    <row r="235">
      <c r="C235" s="49" t="str">
        <f>IF(C234="","",IF(C234+1&gt;MAX(tblData[Дата]),"",C234+1))</f>
        <v/>
      </c>
    </row>
    <row r="236">
      <c r="C236" s="49" t="str">
        <f>IF(C235="","",IF(C235+1&gt;MAX(tblData[Дата]),"",C235+1))</f>
        <v/>
      </c>
    </row>
    <row r="237">
      <c r="C237" s="49" t="str">
        <f>IF(C236="","",IF(C236+1&gt;MAX(tblData[Дата]),"",C236+1))</f>
        <v/>
      </c>
    </row>
    <row r="238">
      <c r="C238" s="49" t="str">
        <f>IF(C237="","",IF(C237+1&gt;MAX(tblData[Дата]),"",C237+1))</f>
        <v/>
      </c>
    </row>
    <row r="239">
      <c r="C239" s="49" t="str">
        <f>IF(C238="","",IF(C238+1&gt;MAX(tblData[Дата]),"",C238+1))</f>
        <v/>
      </c>
    </row>
    <row r="240">
      <c r="C240" s="49" t="str">
        <f>IF(C239="","",IF(C239+1&gt;MAX(tblData[Дата]),"",C239+1))</f>
        <v/>
      </c>
    </row>
    <row r="241">
      <c r="C241" s="49" t="str">
        <f>IF(C240="","",IF(C240+1&gt;MAX(tblData[Дата]),"",C240+1))</f>
        <v/>
      </c>
    </row>
    <row r="242">
      <c r="C242" s="49" t="str">
        <f>IF(C241="","",IF(C241+1&gt;MAX(tblData[Дата]),"",C241+1))</f>
        <v/>
      </c>
    </row>
    <row r="243">
      <c r="C243" s="49" t="str">
        <f>IF(C242="","",IF(C242+1&gt;MAX(tblData[Дата]),"",C242+1))</f>
        <v/>
      </c>
    </row>
    <row r="244">
      <c r="C244" s="49" t="str">
        <f>IF(C243="","",IF(C243+1&gt;MAX(tblData[Дата]),"",C243+1))</f>
        <v/>
      </c>
    </row>
    <row r="245">
      <c r="C245" s="49" t="str">
        <f>IF(C244="","",IF(C244+1&gt;MAX(tblData[Дата]),"",C244+1))</f>
        <v/>
      </c>
    </row>
    <row r="246">
      <c r="C246" s="49" t="str">
        <f>IF(C245="","",IF(C245+1&gt;MAX(tblData[Дата]),"",C245+1))</f>
        <v/>
      </c>
    </row>
    <row r="247">
      <c r="C247" s="49" t="str">
        <f>IF(C246="","",IF(C246+1&gt;MAX(tblData[Дата]),"",C246+1))</f>
        <v/>
      </c>
    </row>
    <row r="248">
      <c r="C248" s="49" t="str">
        <f>IF(C247="","",IF(C247+1&gt;MAX(tblData[Дата]),"",C247+1))</f>
        <v/>
      </c>
    </row>
    <row r="249">
      <c r="C249" s="49" t="str">
        <f>IF(C248="","",IF(C248+1&gt;MAX(tblData[Дата]),"",C248+1))</f>
        <v/>
      </c>
    </row>
    <row r="250">
      <c r="C250" s="49" t="str">
        <f>IF(C249="","",IF(C249+1&gt;MAX(tblData[Дата]),"",C249+1))</f>
        <v/>
      </c>
    </row>
    <row r="251">
      <c r="C251" s="49" t="str">
        <f>IF(C250="","",IF(C250+1&gt;MAX(tblData[Дата]),"",C250+1))</f>
        <v/>
      </c>
    </row>
    <row r="252">
      <c r="C252" s="49" t="str">
        <f>IF(C251="","",IF(C251+1&gt;MAX(tblData[Дата]),"",C251+1))</f>
        <v/>
      </c>
    </row>
    <row r="253">
      <c r="C253" s="49" t="str">
        <f>IF(C252="","",IF(C252+1&gt;MAX(tblData[Дата]),"",C252+1))</f>
        <v/>
      </c>
    </row>
    <row r="254">
      <c r="C254" s="49" t="str">
        <f>IF(C253="","",IF(C253+1&gt;MAX(tblData[Дата]),"",C253+1))</f>
        <v/>
      </c>
    </row>
    <row r="255">
      <c r="C255" s="49" t="str">
        <f>IF(C254="","",IF(C254+1&gt;MAX(tblData[Дата]),"",C254+1))</f>
        <v/>
      </c>
    </row>
    <row r="256">
      <c r="C256" s="49" t="str">
        <f>IF(C255="","",IF(C255+1&gt;MAX(tblData[Дата]),"",C255+1))</f>
        <v/>
      </c>
    </row>
    <row r="257">
      <c r="C257" s="49" t="str">
        <f>IF(C256="","",IF(C256+1&gt;MAX(tblData[Дата]),"",C256+1))</f>
        <v/>
      </c>
    </row>
    <row r="258">
      <c r="C258" s="49" t="str">
        <f>IF(C257="","",IF(C257+1&gt;MAX(tblData[Дата]),"",C257+1))</f>
        <v/>
      </c>
    </row>
    <row r="259">
      <c r="C259" s="49" t="str">
        <f>IF(C258="","",IF(C258+1&gt;MAX(tblData[Дата]),"",C258+1))</f>
        <v/>
      </c>
    </row>
    <row r="260">
      <c r="C260" s="49" t="str">
        <f>IF(C259="","",IF(C259+1&gt;MAX(tblData[Дата]),"",C259+1))</f>
        <v/>
      </c>
    </row>
    <row r="261">
      <c r="C261" s="49" t="str">
        <f>IF(C260="","",IF(C260+1&gt;MAX(tblData[Дата]),"",C260+1))</f>
        <v/>
      </c>
    </row>
    <row r="262">
      <c r="C262" s="49" t="str">
        <f>IF(C261="","",IF(C261+1&gt;MAX(tblData[Дата]),"",C261+1))</f>
        <v/>
      </c>
    </row>
    <row r="263">
      <c r="C263" s="49" t="str">
        <f>IF(C262="","",IF(C262+1&gt;MAX(tblData[Дата]),"",C262+1))</f>
        <v/>
      </c>
    </row>
    <row r="264">
      <c r="C264" s="49" t="str">
        <f>IF(C263="","",IF(C263+1&gt;MAX(tblData[Дата]),"",C263+1))</f>
        <v/>
      </c>
    </row>
    <row r="265">
      <c r="C265" s="49" t="str">
        <f>IF(C264="","",IF(C264+1&gt;MAX(tblData[Дата]),"",C264+1))</f>
        <v/>
      </c>
    </row>
    <row r="266">
      <c r="C266" s="49" t="str">
        <f>IF(C265="","",IF(C265+1&gt;MAX(tblData[Дата]),"",C265+1))</f>
        <v/>
      </c>
    </row>
    <row r="267">
      <c r="C267" s="49" t="str">
        <f>IF(C266="","",IF(C266+1&gt;MAX(tblData[Дата]),"",C266+1))</f>
        <v/>
      </c>
    </row>
    <row r="268">
      <c r="C268" s="49" t="str">
        <f>IF(C267="","",IF(C267+1&gt;MAX(tblData[Дата]),"",C267+1))</f>
        <v/>
      </c>
    </row>
    <row r="269">
      <c r="C269" s="49" t="str">
        <f>IF(C268="","",IF(C268+1&gt;MAX(tblData[Дата]),"",C268+1))</f>
        <v/>
      </c>
    </row>
    <row r="270">
      <c r="C270" s="49" t="str">
        <f>IF(C269="","",IF(C269+1&gt;MAX(tblData[Дата]),"",C269+1))</f>
        <v/>
      </c>
    </row>
    <row r="271">
      <c r="C271" s="49" t="str">
        <f>IF(C270="","",IF(C270+1&gt;MAX(tblData[Дата]),"",C270+1))</f>
        <v/>
      </c>
    </row>
    <row r="272">
      <c r="C272" s="49" t="str">
        <f>IF(C271="","",IF(C271+1&gt;MAX(tblData[Дата]),"",C271+1))</f>
        <v/>
      </c>
    </row>
    <row r="273">
      <c r="C273" s="49" t="str">
        <f>IF(C272="","",IF(C272+1&gt;MAX(tblData[Дата]),"",C272+1))</f>
        <v/>
      </c>
    </row>
    <row r="274">
      <c r="C274" s="49" t="str">
        <f>IF(C273="","",IF(C273+1&gt;MAX(tblData[Дата]),"",C273+1))</f>
        <v/>
      </c>
    </row>
    <row r="275">
      <c r="C275" s="49" t="str">
        <f>IF(C274="","",IF(C274+1&gt;MAX(tblData[Дата]),"",C274+1))</f>
        <v/>
      </c>
    </row>
    <row r="276">
      <c r="C276" s="49" t="str">
        <f>IF(C275="","",IF(C275+1&gt;MAX(tblData[Дата]),"",C275+1))</f>
        <v/>
      </c>
    </row>
    <row r="277">
      <c r="C277" s="49" t="str">
        <f>IF(C276="","",IF(C276+1&gt;MAX(tblData[Дата]),"",C276+1))</f>
        <v/>
      </c>
    </row>
    <row r="278">
      <c r="C278" s="49" t="str">
        <f>IF(C277="","",IF(C277+1&gt;MAX(tblData[Дата]),"",C277+1))</f>
        <v/>
      </c>
    </row>
    <row r="279">
      <c r="C279" s="49" t="str">
        <f>IF(C278="","",IF(C278+1&gt;MAX(tblData[Дата]),"",C278+1))</f>
        <v/>
      </c>
    </row>
    <row r="280">
      <c r="C280" s="49" t="str">
        <f>IF(C279="","",IF(C279+1&gt;MAX(tblData[Дата]),"",C279+1))</f>
        <v/>
      </c>
    </row>
    <row r="281">
      <c r="C281" s="49" t="str">
        <f>IF(C280="","",IF(C280+1&gt;MAX(tblData[Дата]),"",C280+1))</f>
        <v/>
      </c>
    </row>
    <row r="282">
      <c r="C282" s="49" t="str">
        <f>IF(C281="","",IF(C281+1&gt;MAX(tblData[Дата]),"",C281+1))</f>
        <v/>
      </c>
    </row>
    <row r="283">
      <c r="C283" s="49" t="str">
        <f>IF(C282="","",IF(C282+1&gt;MAX(tblData[Дата]),"",C282+1))</f>
        <v/>
      </c>
    </row>
    <row r="284">
      <c r="C284" s="49" t="str">
        <f>IF(C283="","",IF(C283+1&gt;MAX(tblData[Дата]),"",C283+1))</f>
        <v/>
      </c>
    </row>
    <row r="285">
      <c r="C285" s="49" t="str">
        <f>IF(C284="","",IF(C284+1&gt;MAX(tblData[Дата]),"",C284+1))</f>
        <v/>
      </c>
    </row>
    <row r="286">
      <c r="C286" s="49" t="str">
        <f>IF(C285="","",IF(C285+1&gt;MAX(tblData[Дата]),"",C285+1))</f>
        <v/>
      </c>
    </row>
    <row r="287">
      <c r="C287" s="49" t="str">
        <f>IF(C286="","",IF(C286+1&gt;MAX(tblData[Дата]),"",C286+1))</f>
        <v/>
      </c>
    </row>
    <row r="288">
      <c r="C288" s="49" t="str">
        <f>IF(C287="","",IF(C287+1&gt;MAX(tblData[Дата]),"",C287+1))</f>
        <v/>
      </c>
    </row>
    <row r="289">
      <c r="C289" s="49" t="str">
        <f>IF(C288="","",IF(C288+1&gt;MAX(tblData[Дата]),"",C288+1))</f>
        <v/>
      </c>
    </row>
    <row r="290">
      <c r="C290" s="49" t="str">
        <f>IF(C289="","",IF(C289+1&gt;MAX(tblData[Дата]),"",C289+1))</f>
        <v/>
      </c>
    </row>
    <row r="291">
      <c r="C291" s="49" t="str">
        <f>IF(C290="","",IF(C290+1&gt;MAX(tblData[Дата]),"",C290+1))</f>
        <v/>
      </c>
    </row>
    <row r="292">
      <c r="C292" s="49" t="str">
        <f>IF(C291="","",IF(C291+1&gt;MAX(tblData[Дата]),"",C291+1))</f>
        <v/>
      </c>
    </row>
    <row r="293">
      <c r="C293" s="49" t="str">
        <f>IF(C292="","",IF(C292+1&gt;MAX(tblData[Дата]),"",C292+1))</f>
        <v/>
      </c>
    </row>
    <row r="294">
      <c r="C294" s="49" t="str">
        <f>IF(C293="","",IF(C293+1&gt;MAX(tblData[Дата]),"",C293+1))</f>
        <v/>
      </c>
    </row>
    <row r="295">
      <c r="C295" s="49" t="str">
        <f>IF(C294="","",IF(C294+1&gt;MAX(tblData[Дата]),"",C294+1))</f>
        <v/>
      </c>
    </row>
    <row r="296">
      <c r="C296" s="49" t="str">
        <f>IF(C295="","",IF(C295+1&gt;MAX(tblData[Дата]),"",C295+1))</f>
        <v/>
      </c>
    </row>
    <row r="297">
      <c r="C297" s="49" t="str">
        <f>IF(C296="","",IF(C296+1&gt;MAX(tblData[Дата]),"",C296+1))</f>
        <v/>
      </c>
    </row>
    <row r="298">
      <c r="C298" s="49" t="str">
        <f>IF(C297="","",IF(C297+1&gt;MAX(tblData[Дата]),"",C297+1))</f>
        <v/>
      </c>
    </row>
    <row r="299">
      <c r="C299" s="49" t="str">
        <f>IF(C298="","",IF(C298+1&gt;MAX(tblData[Дата]),"",C298+1))</f>
        <v/>
      </c>
    </row>
    <row r="300">
      <c r="C300" s="49" t="str">
        <f>IF(C299="","",IF(C299+1&gt;MAX(tblData[Дата]),"",C299+1))</f>
        <v/>
      </c>
    </row>
    <row r="301">
      <c r="C301" s="49" t="str">
        <f>IF(C300="","",IF(C300+1&gt;MAX(tblData[Дата]),"",C300+1))</f>
        <v/>
      </c>
    </row>
    <row r="302">
      <c r="C302" s="49" t="str">
        <f>IF(C301="","",IF(C301+1&gt;MAX(tblData[Дата]),"",C301+1))</f>
        <v/>
      </c>
    </row>
    <row r="303">
      <c r="C303" s="49" t="str">
        <f>IF(C302="","",IF(C302+1&gt;MAX(tblData[Дата]),"",C302+1))</f>
        <v/>
      </c>
    </row>
    <row r="304">
      <c r="C304" s="49" t="str">
        <f>IF(C303="","",IF(C303+1&gt;MAX(tblData[Дата]),"",C303+1))</f>
        <v/>
      </c>
    </row>
    <row r="305">
      <c r="C305" s="49" t="str">
        <f>IF(C304="","",IF(C304+1&gt;MAX(tblData[Дата]),"",C304+1))</f>
        <v/>
      </c>
    </row>
    <row r="306">
      <c r="C306" s="49" t="str">
        <f>IF(C305="","",IF(C305+1&gt;MAX(tblData[Дата]),"",C305+1))</f>
        <v/>
      </c>
    </row>
    <row r="307">
      <c r="C307" s="49" t="str">
        <f>IF(C306="","",IF(C306+1&gt;MAX(tblData[Дата]),"",C306+1))</f>
        <v/>
      </c>
    </row>
    <row r="308">
      <c r="C308" s="49" t="str">
        <f>IF(C307="","",IF(C307+1&gt;MAX(tblData[Дата]),"",C307+1))</f>
        <v/>
      </c>
    </row>
    <row r="309">
      <c r="C309" s="49" t="str">
        <f>IF(C308="","",IF(C308+1&gt;MAX(tblData[Дата]),"",C308+1))</f>
        <v/>
      </c>
    </row>
    <row r="310">
      <c r="C310" s="49" t="str">
        <f>IF(C309="","",IF(C309+1&gt;MAX(tblData[Дата]),"",C309+1))</f>
        <v/>
      </c>
    </row>
    <row r="311">
      <c r="C311" s="49" t="str">
        <f>IF(C310="","",IF(C310+1&gt;MAX(tblData[Дата]),"",C310+1))</f>
        <v/>
      </c>
    </row>
    <row r="312">
      <c r="C312" s="49" t="str">
        <f>IF(C311="","",IF(C311+1&gt;MAX(tblData[Дата]),"",C311+1))</f>
        <v/>
      </c>
    </row>
    <row r="313">
      <c r="C313" s="49" t="str">
        <f>IF(C312="","",IF(C312+1&gt;MAX(tblData[Дата]),"",C312+1))</f>
        <v/>
      </c>
    </row>
    <row r="314">
      <c r="C314" s="49" t="str">
        <f>IF(C313="","",IF(C313+1&gt;MAX(tblData[Дата]),"",C313+1))</f>
        <v/>
      </c>
    </row>
    <row r="315">
      <c r="C315" s="49" t="str">
        <f>IF(C314="","",IF(C314+1&gt;MAX(tblData[Дата]),"",C314+1))</f>
        <v/>
      </c>
    </row>
    <row r="316">
      <c r="C316" s="49" t="str">
        <f>IF(C315="","",IF(C315+1&gt;MAX(tblData[Дата]),"",C315+1))</f>
        <v/>
      </c>
    </row>
    <row r="317">
      <c r="C317" s="49" t="str">
        <f>IF(C316="","",IF(C316+1&gt;MAX(tblData[Дата]),"",C316+1))</f>
        <v/>
      </c>
    </row>
    <row r="318">
      <c r="C318" s="49" t="str">
        <f>IF(C317="","",IF(C317+1&gt;MAX(tblData[Дата]),"",C317+1))</f>
        <v/>
      </c>
    </row>
    <row r="319">
      <c r="C319" s="49" t="str">
        <f>IF(C318="","",IF(C318+1&gt;MAX(tblData[Дата]),"",C318+1))</f>
        <v/>
      </c>
    </row>
    <row r="320">
      <c r="C320" s="49" t="str">
        <f>IF(C319="","",IF(C319+1&gt;MAX(tblData[Дата]),"",C319+1))</f>
        <v/>
      </c>
    </row>
    <row r="321">
      <c r="C321" s="49" t="str">
        <f>IF(C320="","",IF(C320+1&gt;MAX(tblData[Дата]),"",C320+1))</f>
        <v/>
      </c>
    </row>
    <row r="322">
      <c r="C322" s="49" t="str">
        <f>IF(C321="","",IF(C321+1&gt;MAX(tblData[Дата]),"",C321+1))</f>
        <v/>
      </c>
    </row>
    <row r="323">
      <c r="C323" s="49" t="str">
        <f>IF(C322="","",IF(C322+1&gt;MAX(tblData[Дата]),"",C322+1))</f>
        <v/>
      </c>
    </row>
    <row r="324">
      <c r="C324" s="49" t="str">
        <f>IF(C323="","",IF(C323+1&gt;MAX(tblData[Дата]),"",C323+1))</f>
        <v/>
      </c>
    </row>
    <row r="325">
      <c r="C325" s="49" t="str">
        <f>IF(C324="","",IF(C324+1&gt;MAX(tblData[Дата]),"",C324+1))</f>
        <v/>
      </c>
    </row>
    <row r="326">
      <c r="C326" s="49" t="str">
        <f>IF(C325="","",IF(C325+1&gt;MAX(tblData[Дата]),"",C325+1))</f>
        <v/>
      </c>
    </row>
    <row r="327">
      <c r="C327" s="49" t="str">
        <f>IF(C326="","",IF(C326+1&gt;MAX(tblData[Дата]),"",C326+1))</f>
        <v/>
      </c>
    </row>
    <row r="328">
      <c r="C328" s="49" t="str">
        <f>IF(C327="","",IF(C327+1&gt;MAX(tblData[Дата]),"",C327+1))</f>
        <v/>
      </c>
    </row>
    <row r="329">
      <c r="C329" s="49" t="str">
        <f>IF(C328="","",IF(C328+1&gt;MAX(tblData[Дата]),"",C328+1))</f>
        <v/>
      </c>
    </row>
    <row r="330">
      <c r="C330" s="49" t="str">
        <f>IF(C329="","",IF(C329+1&gt;MAX(tblData[Дата]),"",C329+1))</f>
        <v/>
      </c>
    </row>
    <row r="331">
      <c r="C331" s="49" t="str">
        <f>IF(C330="","",IF(C330+1&gt;MAX(tblData[Дата]),"",C330+1))</f>
        <v/>
      </c>
    </row>
    <row r="332">
      <c r="C332" s="49" t="str">
        <f>IF(C331="","",IF(C331+1&gt;MAX(tblData[Дата]),"",C331+1))</f>
        <v/>
      </c>
    </row>
    <row r="333">
      <c r="C333" s="49" t="str">
        <f>IF(C332="","",IF(C332+1&gt;MAX(tblData[Дата]),"",C332+1))</f>
        <v/>
      </c>
    </row>
    <row r="334">
      <c r="C334" s="49" t="str">
        <f>IF(C333="","",IF(C333+1&gt;MAX(tblData[Дата]),"",C333+1))</f>
        <v/>
      </c>
    </row>
    <row r="335">
      <c r="C335" s="49" t="str">
        <f>IF(C334="","",IF(C334+1&gt;MAX(tblData[Дата]),"",C334+1))</f>
        <v/>
      </c>
    </row>
    <row r="336">
      <c r="C336" s="49" t="str">
        <f>IF(C335="","",IF(C335+1&gt;MAX(tblData[Дата]),"",C335+1))</f>
        <v/>
      </c>
    </row>
    <row r="337">
      <c r="C337" s="49" t="str">
        <f>IF(C336="","",IF(C336+1&gt;MAX(tblData[Дата]),"",C336+1))</f>
        <v/>
      </c>
    </row>
    <row r="338">
      <c r="C338" s="49" t="str">
        <f>IF(C337="","",IF(C337+1&gt;MAX(tblData[Дата]),"",C337+1))</f>
        <v/>
      </c>
    </row>
    <row r="339">
      <c r="C339" s="49" t="str">
        <f>IF(C338="","",IF(C338+1&gt;MAX(tblData[Дата]),"",C338+1))</f>
        <v/>
      </c>
    </row>
    <row r="340">
      <c r="C340" s="49" t="str">
        <f>IF(C339="","",IF(C339+1&gt;MAX(tblData[Дата]),"",C339+1))</f>
        <v/>
      </c>
    </row>
    <row r="341">
      <c r="C341" s="49" t="str">
        <f>IF(C340="","",IF(C340+1&gt;MAX(tblData[Дата]),"",C340+1))</f>
        <v/>
      </c>
    </row>
    <row r="342">
      <c r="C342" s="49" t="str">
        <f>IF(C341="","",IF(C341+1&gt;MAX(tblData[Дата]),"",C341+1))</f>
        <v/>
      </c>
    </row>
    <row r="343">
      <c r="C343" s="49" t="str">
        <f>IF(C342="","",IF(C342+1&gt;MAX(tblData[Дата]),"",C342+1))</f>
        <v/>
      </c>
    </row>
    <row r="344">
      <c r="C344" s="49" t="str">
        <f>IF(C343="","",IF(C343+1&gt;MAX(tblData[Дата]),"",C343+1))</f>
        <v/>
      </c>
    </row>
    <row r="345">
      <c r="C345" s="49" t="str">
        <f>IF(C344="","",IF(C344+1&gt;MAX(tblData[Дата]),"",C344+1))</f>
        <v/>
      </c>
    </row>
    <row r="346">
      <c r="C346" s="49" t="str">
        <f>IF(C345="","",IF(C345+1&gt;MAX(tblData[Дата]),"",C345+1))</f>
        <v/>
      </c>
    </row>
    <row r="347">
      <c r="C347" s="49" t="str">
        <f>IF(C346="","",IF(C346+1&gt;MAX(tblData[Дата]),"",C346+1))</f>
        <v/>
      </c>
    </row>
    <row r="348">
      <c r="C348" s="49" t="str">
        <f>IF(C347="","",IF(C347+1&gt;MAX(tblData[Дата]),"",C347+1))</f>
        <v/>
      </c>
    </row>
    <row r="349">
      <c r="C349" s="49" t="str">
        <f>IF(C348="","",IF(C348+1&gt;MAX(tblData[Дата]),"",C348+1))</f>
        <v/>
      </c>
    </row>
    <row r="350">
      <c r="C350" s="49" t="str">
        <f>IF(C349="","",IF(C349+1&gt;MAX(tblData[Дата]),"",C349+1))</f>
        <v/>
      </c>
    </row>
    <row r="351">
      <c r="C351" s="49" t="str">
        <f>IF(C350="","",IF(C350+1&gt;MAX(tblData[Дата]),"",C350+1))</f>
        <v/>
      </c>
    </row>
    <row r="352">
      <c r="C352" s="49" t="str">
        <f>IF(C351="","",IF(C351+1&gt;MAX(tblData[Дата]),"",C351+1))</f>
        <v/>
      </c>
    </row>
    <row r="353">
      <c r="C353" s="49" t="str">
        <f>IF(C352="","",IF(C352+1&gt;MAX(tblData[Дата]),"",C352+1))</f>
        <v/>
      </c>
    </row>
    <row r="354">
      <c r="C354" s="49" t="str">
        <f>IF(C353="","",IF(C353+1&gt;MAX(tblData[Дата]),"",C353+1))</f>
        <v/>
      </c>
    </row>
    <row r="355">
      <c r="C355" s="49" t="str">
        <f>IF(C354="","",IF(C354+1&gt;MAX(tblData[Дата]),"",C354+1))</f>
        <v/>
      </c>
    </row>
    <row r="356">
      <c r="C356" s="49" t="str">
        <f>IF(C355="","",IF(C355+1&gt;MAX(tblData[Дата]),"",C355+1))</f>
        <v/>
      </c>
    </row>
    <row r="357">
      <c r="C357" s="49" t="str">
        <f>IF(C356="","",IF(C356+1&gt;MAX(tblData[Дата]),"",C356+1))</f>
        <v/>
      </c>
    </row>
    <row r="358">
      <c r="C358" s="49" t="str">
        <f>IF(C357="","",IF(C357+1&gt;MAX(tblData[Дата]),"",C357+1))</f>
        <v/>
      </c>
    </row>
    <row r="359">
      <c r="C359" s="49" t="str">
        <f>IF(C358="","",IF(C358+1&gt;MAX(tblData[Дата]),"",C358+1))</f>
        <v/>
      </c>
    </row>
    <row r="360">
      <c r="C360" s="49" t="str">
        <f>IF(C359="","",IF(C359+1&gt;MAX(tblData[Дата]),"",C359+1))</f>
        <v/>
      </c>
    </row>
    <row r="361">
      <c r="C361" s="49" t="str">
        <f>IF(C360="","",IF(C360+1&gt;MAX(tblData[Дата]),"",C360+1))</f>
        <v/>
      </c>
    </row>
    <row r="362">
      <c r="C362" s="49" t="str">
        <f>IF(C361="","",IF(C361+1&gt;MAX(tblData[Дата]),"",C361+1))</f>
        <v/>
      </c>
    </row>
    <row r="363">
      <c r="C363" s="49" t="str">
        <f>IF(C362="","",IF(C362+1&gt;MAX(tblData[Дата]),"",C362+1))</f>
        <v/>
      </c>
    </row>
    <row r="364">
      <c r="C364" s="49" t="str">
        <f>IF(C363="","",IF(C363+1&gt;MAX(tblData[Дата]),"",C363+1))</f>
        <v/>
      </c>
    </row>
    <row r="365">
      <c r="C365" s="49" t="str">
        <f>IF(C364="","",IF(C364+1&gt;MAX(tblData[Дата]),"",C364+1))</f>
        <v/>
      </c>
    </row>
    <row r="366">
      <c r="C366" s="49" t="str">
        <f>IF(C365="","",IF(C365+1&gt;MAX(tblData[Дата]),"",C365+1))</f>
        <v/>
      </c>
    </row>
    <row r="367">
      <c r="C367" s="49" t="str">
        <f>IF(C366="","",IF(C366+1&gt;MAX(tblData[Дата]),"",C366+1))</f>
        <v/>
      </c>
    </row>
    <row r="368">
      <c r="C368" s="49" t="str">
        <f>IF(C367="","",IF(C367+1&gt;MAX(tblData[Дата]),"",C367+1))</f>
        <v/>
      </c>
    </row>
    <row r="369">
      <c r="C369" s="49" t="str">
        <f>IF(C368="","",IF(C368+1&gt;MAX(tblData[Дата]),"",C368+1))</f>
        <v/>
      </c>
    </row>
    <row r="370">
      <c r="C370" s="49" t="str">
        <f>IF(C369="","",IF(C369+1&gt;MAX(tblData[Дата]),"",C369+1))</f>
        <v/>
      </c>
    </row>
    <row r="371">
      <c r="C371" s="49" t="str">
        <f>IF(C370="","",IF(C370+1&gt;MAX(tblData[Дата]),"",C370+1))</f>
        <v/>
      </c>
    </row>
    <row r="372">
      <c r="C372" s="49" t="str">
        <f>IF(C371="","",IF(C371+1&gt;MAX(tblData[Дата]),"",C371+1))</f>
        <v/>
      </c>
    </row>
    <row r="373">
      <c r="C373" s="49" t="str">
        <f>IF(C372="","",IF(C372+1&gt;MAX(tblData[Дата]),"",C372+1))</f>
        <v/>
      </c>
    </row>
    <row r="374">
      <c r="C374" s="49" t="str">
        <f>IF(C373="","",IF(C373+1&gt;MAX(tblData[Дата]),"",C373+1))</f>
        <v/>
      </c>
    </row>
    <row r="375">
      <c r="C375" s="49" t="str">
        <f>IF(C374="","",IF(C374+1&gt;MAX(tblData[Дата]),"",C374+1))</f>
        <v/>
      </c>
    </row>
    <row r="376">
      <c r="C376" s="49" t="str">
        <f>IF(C375="","",IF(C375+1&gt;MAX(tblData[Дата]),"",C375+1))</f>
        <v/>
      </c>
    </row>
    <row r="377">
      <c r="C377" s="49" t="str">
        <f>IF(C376="","",IF(C376+1&gt;MAX(tblData[Дата]),"",C376+1))</f>
        <v/>
      </c>
    </row>
    <row r="378">
      <c r="C378" s="49" t="str">
        <f>IF(C377="","",IF(C377+1&gt;MAX(tblData[Дата]),"",C377+1))</f>
        <v/>
      </c>
    </row>
    <row r="379">
      <c r="C379" s="49" t="str">
        <f>IF(C378="","",IF(C378+1&gt;MAX(tblData[Дата]),"",C378+1))</f>
        <v/>
      </c>
    </row>
    <row r="380">
      <c r="C380" s="49" t="str">
        <f>IF(C379="","",IF(C379+1&gt;MAX(tblData[Дата]),"",C379+1))</f>
        <v/>
      </c>
    </row>
    <row r="381">
      <c r="C381" s="49" t="str">
        <f>IF(C380="","",IF(C380+1&gt;MAX(tblData[Дата]),"",C380+1))</f>
        <v/>
      </c>
    </row>
    <row r="382">
      <c r="C382" s="49" t="str">
        <f>IF(C381="","",IF(C381+1&gt;MAX(tblData[Дата]),"",C381+1))</f>
        <v/>
      </c>
    </row>
    <row r="383">
      <c r="C383" s="49" t="str">
        <f>IF(C382="","",IF(C382+1&gt;MAX(tblData[Дата]),"",C382+1))</f>
        <v/>
      </c>
    </row>
    <row r="384">
      <c r="C384" s="49" t="str">
        <f>IF(C383="","",IF(C383+1&gt;MAX(tblData[Дата]),"",C383+1))</f>
        <v/>
      </c>
    </row>
    <row r="385">
      <c r="C385" s="49" t="str">
        <f>IF(C384="","",IF(C384+1&gt;MAX(tblData[Дата]),"",C384+1))</f>
        <v/>
      </c>
    </row>
    <row r="386">
      <c r="C386" s="49" t="str">
        <f>IF(C385="","",IF(C385+1&gt;MAX(tblData[Дата]),"",C385+1))</f>
        <v/>
      </c>
    </row>
    <row r="387">
      <c r="C387" s="49" t="str">
        <f>IF(C386="","",IF(C386+1&gt;MAX(tblData[Дата]),"",C386+1))</f>
        <v/>
      </c>
    </row>
    <row r="388">
      <c r="C388" s="49" t="str">
        <f>IF(C387="","",IF(C387+1&gt;MAX(tblData[Дата]),"",C387+1))</f>
        <v/>
      </c>
    </row>
    <row r="389">
      <c r="C389" s="49" t="str">
        <f>IF(C388="","",IF(C388+1&gt;MAX(tblData[Дата]),"",C388+1))</f>
        <v/>
      </c>
    </row>
    <row r="390">
      <c r="C390" s="49" t="str">
        <f>IF(C389="","",IF(C389+1&gt;MAX(tblData[Дата]),"",C389+1))</f>
        <v/>
      </c>
    </row>
    <row r="391">
      <c r="C391" s="49" t="str">
        <f>IF(C390="","",IF(C390+1&gt;MAX(tblData[Дата]),"",C390+1))</f>
        <v/>
      </c>
    </row>
    <row r="392">
      <c r="C392" s="49" t="str">
        <f>IF(C391="","",IF(C391+1&gt;MAX(tblData[Дата]),"",C391+1))</f>
        <v/>
      </c>
    </row>
    <row r="393">
      <c r="C393" s="49" t="str">
        <f>IF(C392="","",IF(C392+1&gt;MAX(tblData[Дата]),"",C392+1))</f>
        <v/>
      </c>
    </row>
    <row r="394">
      <c r="C394" s="49" t="str">
        <f>IF(C393="","",IF(C393+1&gt;MAX(tblData[Дата]),"",C393+1))</f>
        <v/>
      </c>
    </row>
    <row r="395">
      <c r="C395" s="49" t="str">
        <f>IF(C394="","",IF(C394+1&gt;MAX(tblData[Дата]),"",C394+1))</f>
        <v/>
      </c>
    </row>
    <row r="396">
      <c r="C396" s="49" t="str">
        <f>IF(C395="","",IF(C395+1&gt;MAX(tblData[Дата]),"",C395+1))</f>
        <v/>
      </c>
    </row>
    <row r="397">
      <c r="C397" s="49" t="str">
        <f>IF(C396="","",IF(C396+1&gt;MAX(tblData[Дата]),"",C396+1))</f>
        <v/>
      </c>
    </row>
    <row r="398">
      <c r="C398" s="49" t="str">
        <f>IF(C397="","",IF(C397+1&gt;MAX(tblData[Дата]),"",C397+1))</f>
        <v/>
      </c>
    </row>
    <row r="399">
      <c r="C399" s="49" t="str">
        <f>IF(C398="","",IF(C398+1&gt;MAX(tblData[Дата]),"",C398+1))</f>
        <v/>
      </c>
    </row>
    <row r="400">
      <c r="C400" s="49" t="str">
        <f>IF(C399="","",IF(C399+1&gt;MAX(tblData[Дата]),"",C399+1))</f>
        <v/>
      </c>
    </row>
    <row r="401">
      <c r="C401" s="49" t="str">
        <f>IF(C400="","",IF(C400+1&gt;MAX(tblData[Дата]),"",C400+1))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xldash demo (github.com/sinnercode228)</dc:creator>
  <dc:title>Производственный дашборд — Quillmoor Machining</dc:title>
  <dc:description>Демо-проект · Demo project — компания, люди и цифры вымышлены</dc:description>
  <dcterms:created xsi:type="dcterms:W3CDTF">2026-09-24T15:31:36Z</dcterms:created>
  <dcterms:modified xsi:type="dcterms:W3CDTF">2026-09-24T15:31:36Z</dcterms:modified>
</cp:coreProperties>
</file>