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чёт" sheetId="1" state="visible" r:id="rId1"/>
    <sheet name="Зарплата" sheetId="2" state="visible" r:id="rId2"/>
    <sheet name="Сводка" sheetId="3" state="visible" r:id="rId3"/>
    <sheet name="Журнал" sheetId="4" state="visible" r:id="rId4"/>
    <sheet name="Ставки" sheetId="5" state="visible" r:id="rId5"/>
    <sheet name="Настройки" sheetId="6" state="visible" r:id="rId6"/>
  </sheets>
  <definedNames>
    <definedName name="lstEmployees">tblRates[Сотрудник]</definedName>
    <definedName name="invNo">'Настройки'!$C$5</definedName>
    <definedName name="invDate">'Настройки'!$C$6</definedName>
    <definedName name="perFrom">'Настройки'!$C$7</definedName>
    <definedName name="perTo">'Настройки'!$C$8</definedName>
    <definedName name="termsDays">'Настройки'!$C$9</definedName>
    <definedName name="billInc">'Настройки'!$C$10</definedName>
    <definedName name="taxRate">'Настройки'!$C$11</definedName>
    <definedName name="currency">'Настройки'!$C$12</definedName>
    <definedName name="ctrName">'Настройки'!$C$13</definedName>
    <definedName name="ctrAddr">'Настройки'!$C$14</definedName>
    <definedName name="ctrEmail">'Настройки'!$C$15</definedName>
    <definedName name="cliName">'Настройки'!$C$16</definedName>
    <definedName name="cliAddr">'Настройки'!$C$17</definedName>
    <definedName name="yesFlag">'Настройки'!$C$18</definedName>
    <definedName name="invSubtotal">'Счёт'!$G$18</definedName>
    <definedName name="_xlnm.Print_Area" localSheetId="0">'Счёт'!$A$1:$H$34</definedName>
    <definedName name="_xlnm.Print_Area" localSheetId="1">'Зарплата'!$A$1:$L$12</definedName>
    <definedName name="_xlnm.Print_Area" localSheetId="2">'Сводка'!$A$1:$I$32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.mm.yyyy"/>
    <numFmt numFmtId="166" formatCode="yyyy-mm-dd"/>
    <numFmt numFmtId="167" formatCode="0.0%"/>
    <numFmt numFmtId="168" formatCode="#,##0.00;-#,##0.00;&quot;–&quot;"/>
    <numFmt numFmtId="169" formatCode="0%;-0%;&quot;–&quot;"/>
  </numFmts>
  <fonts count="20">
    <font>
      <name val="Calibri"/>
      <family val="2"/>
      <color theme="1"/>
      <sz val="11"/>
      <scheme val="minor"/>
    </font>
    <font>
      <name val="Arial"/>
      <color rgb="000B0B0B"/>
      <sz val="10"/>
    </font>
    <font>
      <name val="Arial"/>
      <b val="1"/>
      <color rgb="000000FF"/>
      <sz val="11"/>
    </font>
    <font>
      <name val="Arial"/>
      <b val="1"/>
      <color rgb="00FFFFFF"/>
      <sz val="10"/>
    </font>
    <font>
      <name val="Arial"/>
      <i val="1"/>
      <color rgb="0052514E"/>
      <sz val="9"/>
    </font>
    <font>
      <name val="Arial"/>
      <color rgb="0052514E"/>
      <sz val="10"/>
    </font>
    <font>
      <name val="Arial"/>
      <b val="1"/>
      <color rgb="00FFFFFF"/>
      <sz val="16"/>
    </font>
    <font>
      <name val="Arial"/>
      <b val="1"/>
      <color rgb="00FFFFFF"/>
      <sz val="9"/>
    </font>
    <font>
      <name val="Arial"/>
      <b val="1"/>
      <color rgb="000B0B0B"/>
      <sz val="10"/>
    </font>
    <font>
      <name val="Arial"/>
      <b val="1"/>
      <color rgb="001F3B57"/>
      <sz val="12"/>
    </font>
    <font>
      <name val="Arial"/>
      <b val="1"/>
      <color rgb="001F3B57"/>
      <sz val="16"/>
    </font>
    <font>
      <name val="Arial"/>
      <b val="1"/>
      <color rgb="001F3B57"/>
      <sz val="20"/>
    </font>
    <font>
      <name val="Arial"/>
      <color rgb="0052514E"/>
      <sz val="9"/>
    </font>
    <font>
      <name val="Arial"/>
      <b val="1"/>
      <color rgb="000B0B0B"/>
      <sz val="11"/>
    </font>
    <font>
      <name val="Arial"/>
      <b val="1"/>
      <color rgb="00898781"/>
      <sz val="8"/>
    </font>
    <font>
      <name val="Arial"/>
      <b val="1"/>
      <color rgb="001F3B57"/>
      <sz val="11"/>
    </font>
    <font>
      <name val="Arial"/>
      <b val="1"/>
      <color rgb="000B0B0B"/>
      <sz val="9"/>
    </font>
    <font>
      <name val="Arial"/>
      <i val="1"/>
      <color rgb="00898781"/>
      <sz val="8"/>
    </font>
    <font>
      <name val="Arial"/>
      <b val="1"/>
      <color rgb="0052514E"/>
      <sz val="10"/>
    </font>
    <font>
      <name val="Arial"/>
      <b val="1"/>
      <color rgb="00D03B3B"/>
      <sz val="9"/>
    </font>
  </fonts>
  <fills count="6">
    <fill>
      <patternFill/>
    </fill>
    <fill>
      <patternFill patternType="gray125"/>
    </fill>
    <fill>
      <patternFill patternType="solid">
        <fgColor rgb="00FFF4C2"/>
        <bgColor rgb="00FFF4C2"/>
      </patternFill>
    </fill>
    <fill>
      <patternFill patternType="solid">
        <fgColor rgb="00F1F0EC"/>
        <bgColor rgb="00F1F0EC"/>
      </patternFill>
    </fill>
    <fill>
      <patternFill patternType="solid">
        <fgColor rgb="001F3B57"/>
        <bgColor rgb="001F3B57"/>
      </patternFill>
    </fill>
    <fill>
      <patternFill patternType="solid">
        <fgColor rgb="00F4F3EF"/>
        <bgColor rgb="00F4F3EF"/>
      </patternFill>
    </fill>
  </fills>
  <borders count="8">
    <border>
      <left/>
      <right/>
      <top/>
      <bottom/>
      <diagonal/>
    </border>
    <border>
      <left style="thin">
        <color rgb="00C9A800"/>
      </left>
      <right style="thin">
        <color rgb="00C9A800"/>
      </right>
      <top style="thin">
        <color rgb="00C9A800"/>
      </top>
      <bottom style="thin">
        <color rgb="00C9A800"/>
      </bottom>
    </border>
    <border>
      <left style="thin">
        <color rgb="00E1E0D9"/>
      </left>
      <right style="thin">
        <color rgb="00E1E0D9"/>
      </right>
      <top style="thin">
        <color rgb="00E1E0D9"/>
      </top>
      <bottom style="thin">
        <color rgb="00E1E0D9"/>
      </bottom>
    </border>
    <border>
      <bottom style="medium">
        <color rgb="001F3B57"/>
      </bottom>
    </border>
    <border>
      <top style="thin">
        <color rgb="0052514E"/>
      </top>
      <bottom style="double">
        <color rgb="0052514E"/>
      </bottom>
    </border>
    <border>
      <left/>
      <right/>
      <top style="thin">
        <color rgb="00E1E0D9"/>
      </top>
      <bottom/>
      <diagonal/>
    </border>
    <border>
      <left/>
      <right style="thin">
        <color rgb="00E1E0D9"/>
      </right>
      <top style="thin">
        <color rgb="00E1E0D9"/>
      </top>
      <bottom/>
      <diagonal/>
    </border>
    <border>
      <left/>
      <right style="thin">
        <color rgb="00E1E0D9"/>
      </right>
      <top style="thin">
        <color rgb="00E1E0D9"/>
      </top>
      <bottom style="thin">
        <color rgb="00E1E0D9"/>
      </bottom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horizontal="right"/>
    </xf>
    <xf numFmtId="0" fontId="12" fillId="0" borderId="0" pivotButton="0" quotePrefix="0" xfId="0"/>
    <xf numFmtId="0" fontId="13" fillId="0" borderId="0" applyAlignment="1" pivotButton="0" quotePrefix="0" xfId="0">
      <alignment horizontal="right"/>
    </xf>
    <xf numFmtId="0" fontId="0" fillId="0" borderId="3" pivotButton="0" quotePrefix="0" xfId="0"/>
    <xf numFmtId="0" fontId="14" fillId="0" borderId="0" pivotButton="0" quotePrefix="0" xfId="0"/>
    <xf numFmtId="165" fontId="8" fillId="0" borderId="0" applyAlignment="1" pivotButton="0" quotePrefix="0" xfId="0">
      <alignment horizontal="right"/>
    </xf>
    <xf numFmtId="0" fontId="13" fillId="0" borderId="0" pivotButton="0" quotePrefix="0" xfId="0"/>
    <xf numFmtId="0" fontId="7" fillId="4" borderId="2" applyAlignment="1" pivotButton="0" quotePrefix="0" xfId="0">
      <alignment horizontal="left" vertical="center" wrapText="1" indent="1"/>
    </xf>
    <xf numFmtId="0" fontId="7" fillId="4" borderId="2" applyAlignment="1" pivotButton="0" quotePrefix="0" xfId="0">
      <alignment horizontal="center" vertical="center" wrapText="1"/>
    </xf>
    <xf numFmtId="1" fontId="1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left" vertical="center" indent="1"/>
    </xf>
    <xf numFmtId="168" fontId="1" fillId="0" borderId="2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/>
    </xf>
    <xf numFmtId="168" fontId="1" fillId="0" borderId="0" pivotButton="0" quotePrefix="0" xfId="0"/>
    <xf numFmtId="0" fontId="15" fillId="5" borderId="4" applyAlignment="1" pivotButton="0" quotePrefix="0" xfId="0">
      <alignment horizontal="right"/>
    </xf>
    <xf numFmtId="0" fontId="0" fillId="5" borderId="4" pivotButton="0" quotePrefix="0" xfId="0"/>
    <xf numFmtId="168" fontId="9" fillId="5" borderId="4" pivotButton="0" quotePrefix="0" xfId="0"/>
    <xf numFmtId="0" fontId="9" fillId="0" borderId="0" pivotButton="0" quotePrefix="0" xfId="0"/>
    <xf numFmtId="0" fontId="0" fillId="0" borderId="7" pivotButton="0" quotePrefix="0" xfId="0"/>
    <xf numFmtId="0" fontId="0" fillId="0" borderId="4" pivotButton="0" quotePrefix="0" xfId="0"/>
    <xf numFmtId="0" fontId="8" fillId="0" borderId="4" pivotButton="0" quotePrefix="0" xfId="0"/>
    <xf numFmtId="168" fontId="8" fillId="0" borderId="4" pivotButton="0" quotePrefix="0" xfId="0"/>
    <xf numFmtId="0" fontId="16" fillId="0" borderId="0" applyAlignment="1" pivotButton="0" quotePrefix="0" xfId="0">
      <alignment horizontal="right"/>
    </xf>
    <xf numFmtId="0" fontId="17" fillId="0" borderId="0" pivotButton="0" quotePrefix="0" xfId="0"/>
    <xf numFmtId="0" fontId="6" fillId="4" borderId="0" applyAlignment="1" pivotButton="0" quotePrefix="0" xfId="0">
      <alignment vertical="center" indent="1"/>
    </xf>
    <xf numFmtId="0" fontId="0" fillId="4" borderId="0" pivotButton="0" quotePrefix="0" xfId="0"/>
    <xf numFmtId="0" fontId="4" fillId="0" borderId="0" pivotButton="0" quotePrefix="0" xfId="0"/>
    <xf numFmtId="0" fontId="18" fillId="0" borderId="0" pivotButton="0" quotePrefix="0" xfId="0"/>
    <xf numFmtId="168" fontId="2" fillId="2" borderId="1" applyAlignment="1" pivotButton="0" quotePrefix="0" xfId="0">
      <alignment horizontal="right" vertical="center"/>
    </xf>
    <xf numFmtId="168" fontId="8" fillId="0" borderId="2" applyAlignment="1" pivotButton="0" quotePrefix="0" xfId="0">
      <alignment horizontal="right" vertical="center"/>
    </xf>
    <xf numFmtId="169" fontId="1" fillId="0" borderId="2" applyAlignment="1" pivotButton="0" quotePrefix="0" xfId="0">
      <alignment horizontal="right" vertical="center"/>
    </xf>
    <xf numFmtId="0" fontId="8" fillId="5" borderId="4" pivotButton="0" quotePrefix="0" xfId="0"/>
    <xf numFmtId="168" fontId="8" fillId="5" borderId="4" pivotButton="0" quotePrefix="0" xfId="0"/>
    <xf numFmtId="169" fontId="8" fillId="5" borderId="4" pivotButton="0" quotePrefix="0" xfId="0"/>
    <xf numFmtId="165" fontId="1" fillId="0" borderId="2" applyAlignment="1" pivotButton="0" quotePrefix="0" xfId="0">
      <alignment horizontal="center" vertical="center"/>
    </xf>
    <xf numFmtId="0" fontId="16" fillId="0" borderId="0" pivotButton="0" quotePrefix="0" xfId="0"/>
    <xf numFmtId="0" fontId="19" fillId="0" borderId="0" pivotButton="0" quotePrefix="0" xfId="0"/>
    <xf numFmtId="0" fontId="3" fillId="0" borderId="0" pivotButton="0" quotePrefix="0" xfId="0"/>
    <xf numFmtId="165" fontId="1" fillId="0" borderId="0" pivotButton="0" quotePrefix="0" xfId="0"/>
    <xf numFmtId="0" fontId="1" fillId="0" borderId="0" pivotButton="0" quotePrefix="0" xfId="0"/>
    <xf numFmtId="2" fontId="1" fillId="0" borderId="0" pivotButton="0" quotePrefix="0" xfId="0"/>
    <xf numFmtId="2" fontId="5" fillId="3" borderId="0" pivotButton="0" quotePrefix="0" xfId="0"/>
    <xf numFmtId="4" fontId="5" fillId="3" borderId="0" pivotButton="0" quotePrefix="0" xfId="0"/>
    <xf numFmtId="4" fontId="2" fillId="2" borderId="1" applyAlignment="1" pivotButton="0" quotePrefix="0" xfId="0">
      <alignment horizontal="right" vertical="center"/>
    </xf>
    <xf numFmtId="0" fontId="8" fillId="0" borderId="2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/>
    </xf>
    <xf numFmtId="166" fontId="2" fillId="2" borderId="1" applyAlignment="1" pivotButton="0" quotePrefix="0" xfId="0">
      <alignment horizontal="center" vertical="center"/>
    </xf>
    <xf numFmtId="1" fontId="2" fillId="2" borderId="1" applyAlignment="1" pivotButton="0" quotePrefix="0" xfId="0">
      <alignment horizontal="center" vertical="center"/>
    </xf>
    <xf numFmtId="2" fontId="2" fillId="2" borderId="1" applyAlignment="1" pivotButton="0" quotePrefix="0" xfId="0">
      <alignment horizontal="center" vertical="center"/>
    </xf>
    <xf numFmtId="167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b val="1"/>
        <color rgb="00006300"/>
      </font>
    </dxf>
    <dxf>
      <font>
        <b val="1"/>
        <color rgb="00D03B3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 sz="1100" b="1">
                <a:solidFill>
                  <a:srgbClr val="1F3B57"/>
                </a:solidFill>
                <a:latin typeface="Arial"/>
              </a:defRPr>
            </a:pPr>
            <a:r>
              <a:rPr sz="1100" b="1">
                <a:solidFill>
                  <a:srgbClr val="1F3B57"/>
                </a:solidFill>
                <a:latin typeface="Arial"/>
              </a:rPr>
              <a:t>Сумма счёта и фонд оплаты по неделям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'Сводка'!G4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'Сводка'!$C$5:$C$10</f>
            </numRef>
          </cat>
          <val>
            <numRef>
              <f>'Сводка'!$G$5:$G$10</f>
            </numRef>
          </val>
        </ser>
        <ser>
          <idx val="1"/>
          <order val="1"/>
          <tx>
            <strRef>
              <f>'Сводка'!H4</f>
            </strRef>
          </tx>
          <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spPr>
          <cat>
            <numRef>
              <f>'Сводка'!$C$5:$C$10</f>
            </numRef>
          </cat>
          <val>
            <numRef>
              <f>'Сводка'!$H$5:$H$10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numFmt formatCode="dd.mm.yyyy" sourceLinked="0"/>
        <majorTickMark val="none"/>
        <minorTickMark val="none"/>
        <spPr>
          <a:ln>
            <a:solidFill>
              <a:srgbClr val="C3C2B7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514E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514E"/>
              </a:solidFill>
              <a:latin typeface="Arial"/>
            </a:endParaRPr>
          </a:p>
        </txPr>
        <crossAx val="100"/>
        <auto val="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1E0D9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noFill/>
            <a:prstDash val="solid"/>
          </a:ln>
        </spPr>
        <txPr>
          <a:bodyPr/>
          <a:p>
            <a:pPr>
              <a:defRPr sz="900" b="0">
                <a:solidFill>
                  <a:srgbClr val="898781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898781"/>
              </a:solidFill>
              <a:latin typeface="Arial"/>
            </a:endParaRPr>
          </a:p>
        </txPr>
        <crossAx val="10"/>
      </valAx>
    </plotArea>
    <legend>
      <legendPos val="b"/>
      <overlay val="0"/>
      <txPr>
        <a:bodyPr/>
        <a:p>
          <a:pPr>
            <a:defRPr sz="900" b="0">
              <a:solidFill>
                <a:srgbClr val="52514E"/>
              </a:solidFill>
              <a:latin typeface="Arial"/>
            </a:defRPr>
          </a:pPr>
          <a:r>
            <a:t/>
          </a:r>
          <a:endParaRPr sz="900" b="0">
            <a:solidFill>
              <a:srgbClr val="52514E"/>
            </a:solidFill>
            <a:latin typeface="Arial"/>
          </a:endParaRP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Log" displayName="tblLog" ref="A1:K406" headerRowCount="1">
  <autoFilter ref="A1:K406"/>
  <tableColumns count="11">
    <tableColumn id="1" name="Дата"/>
    <tableColumn id="2" name="Сотрудник"/>
    <tableColumn id="3" name="Проект"/>
    <tableColumn id="4" name="Задача"/>
    <tableColumn id="5" name="Часы"/>
    <tableColumn id="6" name="Оплачиваемо"/>
    <tableColumn id="7" name="ЧасыКОплате">
      <calculatedColumnFormula>IF(billInc&gt;0,ROUNDUP(tblLog[[#This Row],[Часы]]/billInc,0)*billInc,tblLog[[#This Row],[Часы]])</calculatedColumnFormula>
    </tableColumn>
    <tableColumn id="8" name="Ставка">
      <calculatedColumnFormula>IFERROR(INDEX(tblRates[СтавкаКлиенту],MATCH(tblLog[[#This Row],[Сотрудник]],tblRates[Сотрудник],0)),0)</calculatedColumnFormula>
    </tableColumn>
    <tableColumn id="9" name="Сумма">
      <calculatedColumnFormula>IF(tblLog[[#This Row],[Оплачиваемо]]=yesFlag,ROUND(tblLog[[#This Row],[ЧасыКОплате]]*tblLog[[#This Row],[Ставка]],2),0)</calculatedColumnFormula>
    </tableColumn>
    <tableColumn id="10" name="СтавкаЗП">
      <calculatedColumnFormula>IFERROR(INDEX(tblRates[СтавкаСотруднику],MATCH(tblLog[[#This Row],[Сотрудник]],tblRates[Сотрудник],0)),0)</calculatedColumnFormula>
    </tableColumn>
    <tableColumn id="11" name="ЗП">
      <calculatedColumnFormula>ROUND(tblLog[[#This Row],[Часы]]*tblLog[[#This Row],[СтавкаЗП]],2)</calculatedColumnFormula>
    </tableColumn>
  </tableColumns>
  <tableStyleInfo name="TableStyleMedium2" showRowStripes="1"/>
</table>
</file>

<file path=xl/tables/table2.xml><?xml version="1.0" encoding="utf-8"?>
<table xmlns="http://schemas.openxmlformats.org/spreadsheetml/2006/main" id="2" name="tblRates" displayName="tblRates" ref="A1:D5" headerRowCount="1">
  <autoFilter ref="A1:D5"/>
  <tableColumns count="4">
    <tableColumn id="1" name="Сотрудник"/>
    <tableColumn id="2" name="Роль"/>
    <tableColumn id="3" name="СтавкаКлиенту"/>
    <tableColumn id="4" name="СтавкаСотруднику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G33"/>
  <sheetViews>
    <sheetView showGridLines="0" tabSelected="1" zoomScale="10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30" customWidth="1" min="3" max="3"/>
    <col width="22" customWidth="1" min="4" max="4"/>
    <col width="11" customWidth="1" min="5" max="5"/>
    <col width="16" customWidth="1" min="6" max="6"/>
    <col width="16" customWidth="1" min="7" max="7"/>
    <col width="2" customWidth="1" min="8" max="8"/>
  </cols>
  <sheetData>
    <row r="2">
      <c r="B2" s="1" t="str">
        <f>ctrName</f>
        <v>Brindlecote Digital (демо)</v>
      </c>
      <c r="G2" s="2" t="inlineStr">
        <is>
          <t>СЧЁТ</t>
        </is>
      </c>
    </row>
    <row r="3">
      <c r="B3" s="3" t="str">
        <f>ctrAddr</f>
        <v>г. Примерск, ул. Образцовая, 12</v>
      </c>
      <c r="G3" s="4" t="str">
        <f>"№ "&amp;invNo</f>
        <v>№ 2026-09-001</v>
      </c>
    </row>
    <row r="4">
      <c r="B4" s="3" t="str">
        <f>ctrEmail</f>
        <v>billing@brindlecote.example</v>
      </c>
    </row>
    <row r="5">
      <c r="B5" s="5" t="n"/>
      <c r="C5" s="5" t="n"/>
      <c r="D5" s="5" t="n"/>
      <c r="E5" s="5" t="n"/>
      <c r="F5" s="5" t="n"/>
      <c r="G5" s="5" t="n"/>
    </row>
    <row r="7">
      <c r="B7" s="6" t="inlineStr">
        <is>
          <t>Заказчик</t>
        </is>
      </c>
      <c r="E7" s="3" t="inlineStr">
        <is>
          <t>Дата счёта</t>
        </is>
      </c>
      <c r="G7" s="7">
        <f>invDate</f>
        <v>46296</v>
      </c>
    </row>
    <row r="8">
      <c r="B8" s="8" t="str">
        <f>cliName</f>
        <v>ООО «Quillmoor Machining» (демо)</v>
      </c>
      <c r="E8" s="3" t="inlineStr">
        <is>
          <t>Оплатить до</t>
        </is>
      </c>
      <c r="G8" s="7">
        <f>invDate+termsDays</f>
        <v>46310</v>
      </c>
    </row>
    <row r="9">
      <c r="B9" s="3" t="str">
        <f>cliAddr</f>
        <v>г. Условный, Тестовое шоссе, 400</v>
      </c>
      <c r="E9" s="3" t="inlineStr">
        <is>
          <t>Период с</t>
        </is>
      </c>
      <c r="G9" s="7">
        <f>perFrom</f>
        <v>46266</v>
      </c>
    </row>
    <row r="10">
      <c r="E10" s="3" t="inlineStr">
        <is>
          <t>Период по</t>
        </is>
      </c>
      <c r="G10" s="7">
        <f>perTo</f>
        <v>46295</v>
      </c>
    </row>
    <row r="12" ht="30" customHeight="1">
      <c r="B12" s="9" t="inlineStr">
        <is>
          <t>№</t>
        </is>
      </c>
      <c r="C12" s="10" t="inlineStr">
        <is>
          <t>Специалист</t>
        </is>
      </c>
      <c r="D12" s="10" t="inlineStr">
        <is>
          <t>Роль</t>
        </is>
      </c>
      <c r="E12" s="10" t="inlineStr">
        <is>
          <t>Часы</t>
        </is>
      </c>
      <c r="F12" s="10" t="str">
        <f>"Ставка, "&amp;currency</f>
        <v>Ставка, RUB</v>
      </c>
      <c r="G12" s="10" t="str">
        <f>"Сумма, "&amp;currency</f>
        <v>Сумма, RUB</v>
      </c>
    </row>
    <row r="13">
      <c r="B13" s="11" t="n">
        <v>1</v>
      </c>
      <c r="C13" s="12" t="inlineStr">
        <is>
          <t>Сольберг Мира</t>
        </is>
      </c>
      <c r="D13" s="13" t="str">
        <f>IFERROR(INDEX(tblRates[Роль],MATCH($C13,tblRates[Сотрудник],0)),"")</f>
        <v>Ведущий разработчик</v>
      </c>
      <c r="E13" s="14">
        <f>SUMIFS(tblLog[ЧасыКОплате],tblLog[Сотрудник],$C13,tblLog[Оплачиваемо],yesFlag,tblLog[Дата],"&gt;="&amp;perFrom,tblLog[Дата],"&lt;="&amp;perTo)</f>
        <v>143.5</v>
      </c>
      <c r="F13" s="14">
        <f>IFERROR(INDEX(tblRates[СтавкаКлиенту],MATCH($C13,tblRates[Сотрудник],0)),0)</f>
        <v>3500</v>
      </c>
      <c r="G13" s="14">
        <f>ROUND(E13*F13,2)</f>
        <v>502250</v>
      </c>
    </row>
    <row r="14">
      <c r="B14" s="11" t="n">
        <v>2</v>
      </c>
      <c r="C14" s="12" t="inlineStr">
        <is>
          <t>Варга Тео</t>
        </is>
      </c>
      <c r="D14" s="13" t="str">
        <f>IFERROR(INDEX(tblRates[Роль],MATCH($C14,tblRates[Сотрудник],0)),"")</f>
        <v>Разработчик</v>
      </c>
      <c r="E14" s="14">
        <f>SUMIFS(tblLog[ЧасыКОплате],tblLog[Сотрудник],$C14,tblLog[Оплачиваемо],yesFlag,tblLog[Дата],"&gt;="&amp;perFrom,tblLog[Дата],"&lt;="&amp;perTo)</f>
        <v>156.25</v>
      </c>
      <c r="F14" s="14">
        <f>IFERROR(INDEX(tblRates[СтавкаКлиенту],MATCH($C14,tblRates[Сотрудник],0)),0)</f>
        <v>2600</v>
      </c>
      <c r="G14" s="14">
        <f>ROUND(E14*F14,2)</f>
        <v>406250</v>
      </c>
    </row>
    <row r="15">
      <c r="B15" s="11" t="n">
        <v>3</v>
      </c>
      <c r="C15" s="12" t="inlineStr">
        <is>
          <t>Окафор Инес</t>
        </is>
      </c>
      <c r="D15" s="13" t="str">
        <f>IFERROR(INDEX(tblRates[Роль],MATCH($C15,tblRates[Сотрудник],0)),"")</f>
        <v>Тестировщик</v>
      </c>
      <c r="E15" s="14">
        <f>SUMIFS(tblLog[ЧасыКОплате],tblLog[Сотрудник],$C15,tblLog[Оплачиваемо],yesFlag,tblLog[Дата],"&gt;="&amp;perFrom,tblLog[Дата],"&lt;="&amp;perTo)</f>
        <v>164.75</v>
      </c>
      <c r="F15" s="14">
        <f>IFERROR(INDEX(tblRates[СтавкаКлиенту],MATCH($C15,tblRates[Сотрудник],0)),0)</f>
        <v>1900</v>
      </c>
      <c r="G15" s="14">
        <f>ROUND(E15*F15,2)</f>
        <v>313025</v>
      </c>
    </row>
    <row r="16">
      <c r="B16" s="11" t="n">
        <v>4</v>
      </c>
      <c r="C16" s="12" t="inlineStr">
        <is>
          <t>Бреннер Лука</t>
        </is>
      </c>
      <c r="D16" s="13" t="str">
        <f>IFERROR(INDEX(tblRates[Роль],MATCH($C16,tblRates[Сотрудник],0)),"")</f>
        <v>UI-дизайнер</v>
      </c>
      <c r="E16" s="14">
        <f>SUMIFS(tblLog[ЧасыКОплате],tblLog[Сотрудник],$C16,tblLog[Оплачиваемо],yesFlag,tblLog[Дата],"&gt;="&amp;perFrom,tblLog[Дата],"&lt;="&amp;perTo)</f>
        <v>146.75</v>
      </c>
      <c r="F16" s="14">
        <f>IFERROR(INDEX(tblRates[СтавкаКлиенту],MATCH($C16,tblRates[Сотрудник],0)),0)</f>
        <v>2300</v>
      </c>
      <c r="G16" s="14">
        <f>ROUND(E16*F16,2)</f>
        <v>337525</v>
      </c>
    </row>
    <row r="18">
      <c r="E18" s="15" t="inlineStr">
        <is>
          <t>Итого без налога</t>
        </is>
      </c>
      <c r="G18" s="16">
        <f>SUM(G13:G16)</f>
        <v>1559050</v>
      </c>
    </row>
    <row r="19">
      <c r="E19" s="15" t="str">
        <f>"Налог ("&amp;ROUND(taxRate*100,2)&amp;"%)"</f>
        <v>Налог (0%)</v>
      </c>
      <c r="G19" s="16">
        <f>ROUND(G18*taxRate,2)</f>
        <v>0</v>
      </c>
    </row>
    <row r="20">
      <c r="E20" s="17" t="str">
        <f>"Всего к оплате, "&amp;currency</f>
        <v>Всего к оплате, RUB</v>
      </c>
      <c r="F20" s="18" t="n"/>
      <c r="G20" s="19">
        <f>G18+G19</f>
        <v>1559050</v>
      </c>
    </row>
    <row r="23">
      <c r="B23" s="20" t="inlineStr">
        <is>
          <t>Часы к оплате по проектам</t>
        </is>
      </c>
    </row>
    <row r="24" ht="30" customHeight="1">
      <c r="B24" s="9" t="inlineStr">
        <is>
          <t>№</t>
        </is>
      </c>
      <c r="C24" s="10" t="inlineStr">
        <is>
          <t>Проект</t>
        </is>
      </c>
      <c r="D24" s="21" t="n"/>
      <c r="E24" s="10" t="inlineStr">
        <is>
          <t>Часы</t>
        </is>
      </c>
      <c r="F24" s="10" t="str">
        <f>"Средняя ставка, "&amp;currency</f>
        <v>Средняя ставка, RUB</v>
      </c>
      <c r="G24" s="10" t="str">
        <f>"Сумма, "&amp;currency</f>
        <v>Сумма, RUB</v>
      </c>
    </row>
    <row r="25">
      <c r="B25" s="11" t="n">
        <v>1</v>
      </c>
      <c r="C25" s="12" t="inlineStr">
        <is>
          <t>Клиентский портал</t>
        </is>
      </c>
      <c r="D25" s="21" t="n"/>
      <c r="E25" s="14">
        <f>SUMIFS(tblLog[ЧасыКОплате],tblLog[Проект],$C25,tblLog[Оплачиваемо],yesFlag,tblLog[Дата],"&gt;="&amp;perFrom,tblLog[Дата],"&lt;="&amp;perTo)</f>
        <v>314.25</v>
      </c>
      <c r="F25" s="14">
        <f>IF(E25=0,"",G25/E25)</f>
        <v>2471.360381861575</v>
      </c>
      <c r="G25" s="14">
        <f>SUMIFS(tblLog[Сумма],tblLog[Проект],$C25,tblLog[Дата],"&gt;="&amp;perFrom,tblLog[Дата],"&lt;="&amp;perTo)</f>
        <v>776625</v>
      </c>
    </row>
    <row r="26">
      <c r="B26" s="11" t="n">
        <v>2</v>
      </c>
      <c r="C26" s="12" t="inlineStr">
        <is>
          <t>Мобильное приложение для цеха</t>
        </is>
      </c>
      <c r="D26" s="21" t="n"/>
      <c r="E26" s="14">
        <f>SUMIFS(tblLog[ЧасыКОплате],tblLog[Проект],$C26,tblLog[Оплачиваемо],yesFlag,tblLog[Дата],"&gt;="&amp;perFrom,tblLog[Дата],"&lt;="&amp;perTo)</f>
        <v>247.75</v>
      </c>
      <c r="F26" s="14">
        <f>IF(E26=0,"",G26/E26)</f>
        <v>2569.9293642785065</v>
      </c>
      <c r="G26" s="14">
        <f>SUMIFS(tblLog[Сумма],tblLog[Проект],$C26,tblLog[Дата],"&gt;="&amp;perFrom,tblLog[Дата],"&lt;="&amp;perTo)</f>
        <v>636700</v>
      </c>
    </row>
    <row r="27">
      <c r="B27" s="11" t="n">
        <v>3</v>
      </c>
      <c r="C27" s="12" t="inlineStr">
        <is>
          <t>Поддержка</t>
        </is>
      </c>
      <c r="D27" s="21" t="n"/>
      <c r="E27" s="14">
        <f>SUMIFS(tblLog[ЧасыКОплате],tblLog[Проект],$C27,tblLog[Оплачиваемо],yesFlag,tblLog[Дата],"&gt;="&amp;perFrom,tblLog[Дата],"&lt;="&amp;perTo)</f>
        <v>49.25</v>
      </c>
      <c r="F27" s="14">
        <f>IF(E27=0,"",G27/E27)</f>
        <v>2958.8832487309646</v>
      </c>
      <c r="G27" s="14">
        <f>SUMIFS(tblLog[Сумма],tblLog[Проект],$C27,tblLog[Дата],"&gt;="&amp;perFrom,tblLog[Дата],"&lt;="&amp;perTo)</f>
        <v>145725</v>
      </c>
    </row>
    <row r="28">
      <c r="B28" s="22" t="n"/>
      <c r="C28" s="23" t="inlineStr">
        <is>
          <t>Итого</t>
        </is>
      </c>
      <c r="D28" s="22" t="n"/>
      <c r="E28" s="24">
        <f>SUM(E25:E27)</f>
        <v>611.25</v>
      </c>
      <c r="F28" s="24">
        <f>IF(E28=0,"",G28/E28)</f>
        <v>2550.593047034765</v>
      </c>
      <c r="G28" s="24">
        <f>SUM(G25:G27)</f>
        <v>1559050</v>
      </c>
    </row>
    <row r="29">
      <c r="C29" s="3" t="inlineStr">
        <is>
          <t>Проверка: сумма по проектам = итог счёта</t>
        </is>
      </c>
      <c r="G29" s="25" t="str">
        <f>IF(ABS(G28-G18)&lt;0.005,"✓ совпадает","✗ расходится")</f>
        <v>✓ совпадает</v>
      </c>
    </row>
    <row r="31">
      <c r="B31" s="26" t="str">
        <f>IF(billInc&gt;0,"Каждая запись времени округляется вверх до "&amp;billInc&amp;" ч (ОКРВВЕРХ / ROUNDUP).","Время выставляется точно по журналу, без округления.")</f>
        <v>Каждая запись времени округляется вверх до 0.25 ч (ОКРВВЕРХ / ROUNDUP).</v>
      </c>
    </row>
    <row r="32">
      <c r="B32" s="26" t="str">
        <f>"Оплата в течение "&amp;termsDays&amp;" дней с даты счёта."</f>
        <v>Оплата в течение 14 дней с даты счёта.</v>
      </c>
    </row>
    <row r="33">
      <c r="B33" s="26" t="inlineStr">
        <is>
          <t>Демо-документ, создан build_invoice.py — вымышленные компании, не настоящий счёт.</t>
        </is>
      </c>
    </row>
  </sheetData>
  <mergeCells count="11">
    <mergeCell ref="E9:F9"/>
    <mergeCell ref="E20:F20"/>
    <mergeCell ref="C24:D24"/>
    <mergeCell ref="E7:F7"/>
    <mergeCell ref="E10:F10"/>
    <mergeCell ref="C25:D25"/>
    <mergeCell ref="E19:F19"/>
    <mergeCell ref="C27:D27"/>
    <mergeCell ref="C26:D26"/>
    <mergeCell ref="E18:F18"/>
    <mergeCell ref="E8:F8"/>
  </mergeCells>
  <conditionalFormatting sqref="G29">
    <cfRule type="expression" priority="1" dxfId="0">
      <formula>ABS(G28-G18)&lt;0.005</formula>
    </cfRule>
    <cfRule type="expression" priority="2" dxfId="1">
      <formula>ABS(G28-G18)&gt;=0.005</formula>
    </cfRule>
  </conditionalFormatting>
  <printOptions horizontalCentered="1"/>
  <pageMargins left="0.5" right="0.5" top="0.6" bottom="0.6" header="0.5" footer="0.5"/>
  <pageSetup orientation="portrait" paperSize="9" fitToHeight="1" fitToWidth="1"/>
  <headerFooter>
    <oddHeader/>
    <oddFooter>&amp;C&amp;8Демо-проект · Demo project — компании, люди и цифры вымышлены&amp;R&amp;8&amp;P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L12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20" customWidth="1" min="3" max="3"/>
    <col width="12" customWidth="1" min="4" max="4"/>
    <col width="12" customWidth="1" min="5" max="5"/>
    <col width="13" customWidth="1" min="6" max="6"/>
    <col width="14" customWidth="1" min="7" max="7"/>
    <col width="13" customWidth="1" min="8" max="8"/>
    <col width="12" customWidth="1" min="9" max="9"/>
    <col width="14" customWidth="1" min="10" max="10"/>
    <col width="13" customWidth="1" min="11" max="11"/>
    <col width="11" customWidth="1" min="12" max="12"/>
  </cols>
  <sheetData>
    <row r="1" ht="30" customHeight="1">
      <c r="B1" s="27" t="inlineStr">
        <is>
          <t>Зарплата за период</t>
        </is>
      </c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</row>
    <row r="2">
      <c r="B2" s="29" t="inlineStr">
        <is>
          <t>Демо-проект · Demo project — компании, люди и цифры вымышлены</t>
        </is>
      </c>
    </row>
    <row r="3">
      <c r="B3" s="30" t="str">
        <f>"Период: "&amp;RIGHT("0"&amp;DAY(perFrom),2)&amp;"."&amp;RIGHT("0"&amp;MONTH(perFrom),2)&amp;"."&amp;YEAR(perFrom)&amp;" – "&amp;RIGHT("0"&amp;DAY(perTo),2)&amp;"."&amp;RIGHT("0"&amp;MONTH(perTo),2)&amp;"."&amp;YEAR(perTo)</f>
        <v>Период: 01.09.2026 – 30.09.2026</v>
      </c>
    </row>
    <row r="5" ht="30" customHeight="1">
      <c r="B5" s="9" t="inlineStr">
        <is>
          <t>Сотрудник</t>
        </is>
      </c>
      <c r="C5" s="10" t="inlineStr">
        <is>
          <t>Роль</t>
        </is>
      </c>
      <c r="D5" s="10" t="inlineStr">
        <is>
          <t>Отработано, ч</t>
        </is>
      </c>
      <c r="E5" s="10" t="str">
        <f>"Ставка ЗП, "&amp;currency</f>
        <v>Ставка ЗП, RUB</v>
      </c>
      <c r="F5" s="10" t="str">
        <f>"Начислено, "&amp;currency</f>
        <v>Начислено, RUB</v>
      </c>
      <c r="G5" s="10" t="str">
        <f>"Корректировка, "&amp;currency</f>
        <v>Корректировка, RUB</v>
      </c>
      <c r="H5" s="10" t="str">
        <f>"К выплате, "&amp;currency</f>
        <v>К выплате, RUB</v>
      </c>
      <c r="I5" s="10" t="inlineStr">
        <is>
          <t>Часы к оплате</t>
        </is>
      </c>
      <c r="J5" s="10" t="str">
        <f>"Выставлено, "&amp;currency</f>
        <v>Выставлено, RUB</v>
      </c>
      <c r="K5" s="10" t="str">
        <f>"Маржа, "&amp;currency</f>
        <v>Маржа, RUB</v>
      </c>
      <c r="L5" s="10" t="inlineStr">
        <is>
          <t>Загрузка</t>
        </is>
      </c>
    </row>
    <row r="6">
      <c r="B6" s="12" t="inlineStr">
        <is>
          <t>Сольберг Мира</t>
        </is>
      </c>
      <c r="C6" s="13" t="str">
        <f>IFERROR(INDEX(tblRates[Роль],MATCH($B6,tblRates[Сотрудник],0)),"")</f>
        <v>Ведущий разработчик</v>
      </c>
      <c r="D6" s="14">
        <f>SUMIFS(tblLog[Часы],tblLog[Сотрудник],$B6,tblLog[Дата],"&gt;="&amp;perFrom,tblLog[Дата],"&lt;="&amp;perTo)</f>
        <v>156.74</v>
      </c>
      <c r="E6" s="14">
        <f>IFERROR(INDEX(tblRates[СтавкаСотруднику],MATCH($B6,tblRates[Сотрудник],0)),0)</f>
        <v>2400</v>
      </c>
      <c r="F6" s="14">
        <f>SUMIFS(tblLog[ЗП],tblLog[Сотрудник],$B6,tblLog[Дата],"&gt;="&amp;perFrom,tblLog[Дата],"&lt;="&amp;perTo)</f>
        <v>376176</v>
      </c>
      <c r="G6" s="31" t="n">
        <v>0</v>
      </c>
      <c r="H6" s="32">
        <f>F6+G6</f>
        <v>376176</v>
      </c>
      <c r="I6" s="14">
        <f>SUMIFS(tblLog[ЧасыКОплате],tblLog[Сотрудник],$B6,tblLog[Оплачиваемо],yesFlag,tblLog[Дата],"&gt;="&amp;perFrom,tblLog[Дата],"&lt;="&amp;perTo)</f>
        <v>143.5</v>
      </c>
      <c r="J6" s="14">
        <f>SUMIFS(tblLog[Сумма],tblLog[Сотрудник],$B6,tblLog[Дата],"&gt;="&amp;perFrom,tblLog[Дата],"&lt;="&amp;perTo)</f>
        <v>502250</v>
      </c>
      <c r="K6" s="14">
        <f>J6-H6</f>
        <v>126074</v>
      </c>
      <c r="L6" s="33">
        <f>IF(D6=0,"",SUMIFS(tblLog[Часы],tblLog[Сотрудник],$B6,tblLog[Оплачиваемо],yesFlag,tblLog[Дата],"&gt;="&amp;perFrom,tblLog[Дата],"&lt;="&amp;perTo)/D6)</f>
        <v>0.8629577644506825</v>
      </c>
    </row>
    <row r="7">
      <c r="B7" s="12" t="inlineStr">
        <is>
          <t>Варга Тео</t>
        </is>
      </c>
      <c r="C7" s="13" t="str">
        <f>IFERROR(INDEX(tblRates[Роль],MATCH($B7,tblRates[Сотрудник],0)),"")</f>
        <v>Разработчик</v>
      </c>
      <c r="D7" s="14">
        <f>SUMIFS(tblLog[Часы],tblLog[Сотрудник],$B7,tblLog[Дата],"&gt;="&amp;perFrom,tblLog[Дата],"&lt;="&amp;perTo)</f>
        <v>163.87</v>
      </c>
      <c r="E7" s="14">
        <f>IFERROR(INDEX(tblRates[СтавкаСотруднику],MATCH($B7,tblRates[Сотрудник],0)),0)</f>
        <v>1700</v>
      </c>
      <c r="F7" s="14">
        <f>SUMIFS(tblLog[ЗП],tblLog[Сотрудник],$B7,tblLog[Дата],"&gt;="&amp;perFrom,tblLog[Дата],"&lt;="&amp;perTo)</f>
        <v>278579</v>
      </c>
      <c r="G7" s="31" t="n">
        <v>0</v>
      </c>
      <c r="H7" s="32">
        <f>F7+G7</f>
        <v>278579</v>
      </c>
      <c r="I7" s="14">
        <f>SUMIFS(tblLog[ЧасыКОплате],tblLog[Сотрудник],$B7,tblLog[Оплачиваемо],yesFlag,tblLog[Дата],"&gt;="&amp;perFrom,tblLog[Дата],"&lt;="&amp;perTo)</f>
        <v>156.25</v>
      </c>
      <c r="J7" s="14">
        <f>SUMIFS(tblLog[Сумма],tblLog[Сотрудник],$B7,tblLog[Дата],"&gt;="&amp;perFrom,tblLog[Дата],"&lt;="&amp;perTo)</f>
        <v>406250</v>
      </c>
      <c r="K7" s="14">
        <f>J7-H7</f>
        <v>127671</v>
      </c>
      <c r="L7" s="33">
        <f>IF(D7=0,"",SUMIFS(tblLog[Часы],tblLog[Сотрудник],$B7,tblLog[Оплачиваемо],yesFlag,tblLog[Дата],"&gt;="&amp;perFrom,tblLog[Дата],"&lt;="&amp;perTo)/D7)</f>
        <v>0.9079148105205346</v>
      </c>
    </row>
    <row r="8">
      <c r="B8" s="12" t="inlineStr">
        <is>
          <t>Окафор Инес</t>
        </is>
      </c>
      <c r="C8" s="13" t="str">
        <f>IFERROR(INDEX(tblRates[Роль],MATCH($B8,tblRates[Сотрудник],0)),"")</f>
        <v>Тестировщик</v>
      </c>
      <c r="D8" s="14">
        <f>SUMIFS(tblLog[Часы],tblLog[Сотрудник],$B8,tblLog[Дата],"&gt;="&amp;perFrom,tblLog[Дата],"&lt;="&amp;perTo)</f>
        <v>164.71</v>
      </c>
      <c r="E8" s="14">
        <f>IFERROR(INDEX(tblRates[СтавкаСотруднику],MATCH($B8,tblRates[Сотрудник],0)),0)</f>
        <v>1200</v>
      </c>
      <c r="F8" s="14">
        <f>SUMIFS(tblLog[ЗП],tblLog[Сотрудник],$B8,tblLog[Дата],"&gt;="&amp;perFrom,tblLog[Дата],"&lt;="&amp;perTo)</f>
        <v>197652</v>
      </c>
      <c r="G8" s="31" t="n">
        <v>0</v>
      </c>
      <c r="H8" s="32">
        <f>F8+G8</f>
        <v>197652</v>
      </c>
      <c r="I8" s="14">
        <f>SUMIFS(tblLog[ЧасыКОплате],tblLog[Сотрудник],$B8,tblLog[Оплачиваемо],yesFlag,tblLog[Дата],"&gt;="&amp;perFrom,tblLog[Дата],"&lt;="&amp;perTo)</f>
        <v>164.75</v>
      </c>
      <c r="J8" s="14">
        <f>SUMIFS(tblLog[Сумма],tblLog[Сотрудник],$B8,tblLog[Дата],"&gt;="&amp;perFrom,tblLog[Дата],"&lt;="&amp;perTo)</f>
        <v>313025</v>
      </c>
      <c r="K8" s="14">
        <f>J8-H8</f>
        <v>115373</v>
      </c>
      <c r="L8" s="33">
        <f>IF(D8=0,"",SUMIFS(tblLog[Часы],tblLog[Сотрудник],$B8,tblLog[Оплачиваемо],yesFlag,tblLog[Дата],"&gt;="&amp;perFrom,tblLog[Дата],"&lt;="&amp;perTo)/D8)</f>
        <v>0.943658551393358</v>
      </c>
    </row>
    <row r="9">
      <c r="B9" s="12" t="inlineStr">
        <is>
          <t>Бреннер Лука</t>
        </is>
      </c>
      <c r="C9" s="13" t="str">
        <f>IFERROR(INDEX(tblRates[Роль],MATCH($B9,tblRates[Сотрудник],0)),"")</f>
        <v>UI-дизайнер</v>
      </c>
      <c r="D9" s="14">
        <f>SUMIFS(tblLog[Часы],tblLog[Сотрудник],$B9,tblLog[Дата],"&gt;="&amp;perFrom,tblLog[Дата],"&lt;="&amp;perTo)</f>
        <v>149.43</v>
      </c>
      <c r="E9" s="14">
        <f>IFERROR(INDEX(tblRates[СтавкаСотруднику],MATCH($B9,tblRates[Сотрудник],0)),0)</f>
        <v>1500</v>
      </c>
      <c r="F9" s="14">
        <f>SUMIFS(tblLog[ЗП],tblLog[Сотрудник],$B9,tblLog[Дата],"&gt;="&amp;perFrom,tblLog[Дата],"&lt;="&amp;perTo)</f>
        <v>224145</v>
      </c>
      <c r="G9" s="31" t="n">
        <v>0</v>
      </c>
      <c r="H9" s="32">
        <f>F9+G9</f>
        <v>224145</v>
      </c>
      <c r="I9" s="14">
        <f>SUMIFS(tblLog[ЧасыКОплате],tblLog[Сотрудник],$B9,tblLog[Оплачиваемо],yesFlag,tblLog[Дата],"&gt;="&amp;perFrom,tblLog[Дата],"&lt;="&amp;perTo)</f>
        <v>146.75</v>
      </c>
      <c r="J9" s="14">
        <f>SUMIFS(tblLog[Сумма],tblLog[Сотрудник],$B9,tblLog[Дата],"&gt;="&amp;perFrom,tblLog[Дата],"&lt;="&amp;perTo)</f>
        <v>337525</v>
      </c>
      <c r="K9" s="14">
        <f>J9-H9</f>
        <v>113380</v>
      </c>
      <c r="L9" s="33">
        <f>IF(D9=0,"",SUMIFS(tblLog[Часы],tblLog[Сотрудник],$B9,tblLog[Оплачиваемо],yesFlag,tblLog[Дата],"&gt;="&amp;perFrom,tblLog[Дата],"&lt;="&amp;perTo)/D9)</f>
        <v>0.933346717526601</v>
      </c>
    </row>
    <row r="10">
      <c r="B10" s="34" t="inlineStr">
        <is>
          <t>Итого</t>
        </is>
      </c>
      <c r="C10" s="34" t="n"/>
      <c r="D10" s="35">
        <f>SUM(D6:D9)</f>
        <v>634.75</v>
      </c>
      <c r="E10" s="34" t="n"/>
      <c r="F10" s="35">
        <f>SUM(F6:F9)</f>
        <v>1076552</v>
      </c>
      <c r="G10" s="35">
        <f>SUM(G6:G9)</f>
        <v>0</v>
      </c>
      <c r="H10" s="35">
        <f>SUM(H6:H9)</f>
        <v>1076552</v>
      </c>
      <c r="I10" s="35">
        <f>SUM(I6:I9)</f>
        <v>611.25</v>
      </c>
      <c r="J10" s="35">
        <f>SUM(J6:J9)</f>
        <v>1559050</v>
      </c>
      <c r="K10" s="35">
        <f>SUM(K6:K9)</f>
        <v>482498</v>
      </c>
      <c r="L10" s="36">
        <f>IF(D10=0,"",SUMIFS(tblLog[Часы],tblLog[Оплачиваемо],yesFlag,tblLog[Дата],"&gt;="&amp;perFrom,tblLog[Дата],"&lt;="&amp;perTo)/D10)</f>
        <v>0.9120756203229617</v>
      </c>
    </row>
    <row r="12">
      <c r="B12" s="29" t="inlineStr">
        <is>
          <t>Жёлтые ячейки «Корректировка» — ввод (премия + / удержание −). Загрузка = оплачиваемые ÷ отработанные часы.</t>
        </is>
      </c>
    </row>
  </sheetData>
  <conditionalFormatting sqref="K6:K10">
    <cfRule type="expression" priority="1" dxfId="1">
      <formula>K6&lt;0</formula>
    </cfRule>
  </conditionalFormatting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I13"/>
  <sheetViews>
    <sheetView showGridLines="0" tabSelected="0" zoomScale="100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13" customWidth="1" min="3" max="3"/>
    <col width="13" customWidth="1" min="4" max="4"/>
    <col width="14" customWidth="1" min="5" max="5"/>
    <col width="14" customWidth="1" min="6" max="6"/>
    <col width="16" customWidth="1" min="7" max="7"/>
    <col width="16" customWidth="1" min="8" max="8"/>
    <col width="14" customWidth="1" min="9" max="9"/>
  </cols>
  <sheetData>
    <row r="1" ht="30" customHeight="1">
      <c r="B1" s="27" t="inlineStr">
        <is>
          <t>Сводка по неделям</t>
        </is>
      </c>
      <c r="C1" s="28" t="n"/>
      <c r="D1" s="28" t="n"/>
      <c r="E1" s="28" t="n"/>
      <c r="F1" s="28" t="n"/>
      <c r="G1" s="28" t="n"/>
      <c r="H1" s="28" t="n"/>
      <c r="I1" s="28" t="n"/>
    </row>
    <row r="2">
      <c r="B2" s="29" t="inlineStr">
        <is>
          <t>Демо-проект · Demo project — компании, люди и цифры вымышлены</t>
        </is>
      </c>
    </row>
    <row r="4" ht="30" customHeight="1">
      <c r="B4" s="9" t="inlineStr">
        <is>
          <t>Неделя</t>
        </is>
      </c>
      <c r="C4" s="10" t="inlineStr">
        <is>
          <t>С</t>
        </is>
      </c>
      <c r="D4" s="10" t="inlineStr">
        <is>
          <t>По</t>
        </is>
      </c>
      <c r="E4" s="10" t="inlineStr">
        <is>
          <t>Отработано, ч</t>
        </is>
      </c>
      <c r="F4" s="10" t="inlineStr">
        <is>
          <t>Часы к оплате</t>
        </is>
      </c>
      <c r="G4" s="10" t="str">
        <f>"Сумма счёта, "&amp;currency</f>
        <v>Сумма счёта, RUB</v>
      </c>
      <c r="H4" s="10" t="str">
        <f>"Фонд оплаты, "&amp;currency</f>
        <v>Фонд оплаты, RUB</v>
      </c>
      <c r="I4" s="10" t="str">
        <f>"Маржа, "&amp;currency</f>
        <v>Маржа, RUB</v>
      </c>
    </row>
    <row r="5">
      <c r="B5" s="11">
        <f>IF(C5="","",1)</f>
        <v>1</v>
      </c>
      <c r="C5" s="37">
        <f>perFrom</f>
        <v>46266</v>
      </c>
      <c r="D5" s="37">
        <f>IF(C5="","",MIN(perTo,C5+7-WEEKDAY(C5,2)))</f>
        <v>46271</v>
      </c>
      <c r="E5" s="14">
        <f>IF(C5="","",SUMIFS(tblLog[Часы],tblLog[Дата],"&gt;="&amp;$C5,tblLog[Дата],"&lt;="&amp;$D5))</f>
        <v>114.5</v>
      </c>
      <c r="F5" s="14">
        <f>IF(C5="","",SUMIFS(tblLog[ЧасыКОплате],tblLog[Оплачиваемо],yesFlag,tblLog[Дата],"&gt;="&amp;$C5,tblLog[Дата],"&lt;="&amp;$D5))</f>
        <v>109.75</v>
      </c>
      <c r="G5" s="14">
        <f>IF(C5="","",SUMIFS(tblLog[Сумма],tblLog[Дата],"&gt;="&amp;$C5,tblLog[Дата],"&lt;="&amp;$D5))</f>
        <v>282400</v>
      </c>
      <c r="H5" s="14">
        <f>IF(C5="","",SUMIFS(tblLog[ЗП],tblLog[Дата],"&gt;="&amp;$C5,tblLog[Дата],"&lt;="&amp;$D5))</f>
        <v>197800</v>
      </c>
      <c r="I5" s="14">
        <f>IF(C5="","",G5-H5)</f>
        <v>84600</v>
      </c>
    </row>
    <row r="6">
      <c r="B6" s="11">
        <f>IF(C6="","",2)</f>
        <v>2</v>
      </c>
      <c r="C6" s="37">
        <f>IF(C5="","",IF(D5+1&gt;perTo,"",D5+1))</f>
        <v>46272</v>
      </c>
      <c r="D6" s="37">
        <f>IF(C6="","",MIN(perTo,C6+7-WEEKDAY(C6,2)))</f>
        <v>46278</v>
      </c>
      <c r="E6" s="14">
        <f>IF(C6="","",SUMIFS(tblLog[Часы],tblLog[Дата],"&gt;="&amp;$C6,tblLog[Дата],"&lt;="&amp;$D6))</f>
        <v>146.5</v>
      </c>
      <c r="F6" s="14">
        <f>IF(C6="","",SUMIFS(tblLog[ЧасыКОплате],tblLog[Оплачиваемо],yesFlag,tblLog[Дата],"&gt;="&amp;$C6,tblLog[Дата],"&lt;="&amp;$D6))</f>
        <v>136</v>
      </c>
      <c r="G6" s="14">
        <f>IF(C6="","",SUMIFS(tblLog[Сумма],tblLog[Дата],"&gt;="&amp;$C6,tblLog[Дата],"&lt;="&amp;$D6))</f>
        <v>352600</v>
      </c>
      <c r="H6" s="14">
        <f>IF(C6="","",SUMIFS(tblLog[ЗП],tblLog[Дата],"&gt;="&amp;$C6,tblLog[Дата],"&lt;="&amp;$D6))</f>
        <v>250150</v>
      </c>
      <c r="I6" s="14">
        <f>IF(C6="","",G6-H6)</f>
        <v>102450</v>
      </c>
    </row>
    <row r="7">
      <c r="B7" s="11">
        <f>IF(C7="","",3)</f>
        <v>3</v>
      </c>
      <c r="C7" s="37">
        <f>IF(C6="","",IF(D6+1&gt;perTo,"",D6+1))</f>
        <v>46279</v>
      </c>
      <c r="D7" s="37">
        <f>IF(C7="","",MIN(perTo,C7+7-WEEKDAY(C7,2)))</f>
        <v>46285</v>
      </c>
      <c r="E7" s="14">
        <f>IF(C7="","",SUMIFS(tblLog[Часы],tblLog[Дата],"&gt;="&amp;$C7,tblLog[Дата],"&lt;="&amp;$D7))</f>
        <v>142.73</v>
      </c>
      <c r="F7" s="14">
        <f>IF(C7="","",SUMIFS(tblLog[ЧасыКОплате],tblLog[Оплачиваемо],yesFlag,tblLog[Дата],"&gt;="&amp;$C7,tblLog[Дата],"&lt;="&amp;$D7))</f>
        <v>142</v>
      </c>
      <c r="G7" s="14">
        <f>IF(C7="","",SUMIFS(tblLog[Сумма],tblLog[Дата],"&gt;="&amp;$C7,tblLog[Дата],"&lt;="&amp;$D7))</f>
        <v>353100</v>
      </c>
      <c r="H7" s="14">
        <f>IF(C7="","",SUMIFS(tblLog[ЗП],tblLog[Дата],"&gt;="&amp;$C7,tblLog[Дата],"&lt;="&amp;$D7))</f>
        <v>237841</v>
      </c>
      <c r="I7" s="14">
        <f>IF(C7="","",G7-H7)</f>
        <v>115259</v>
      </c>
    </row>
    <row r="8">
      <c r="B8" s="11">
        <f>IF(C8="","",4)</f>
        <v>4</v>
      </c>
      <c r="C8" s="37">
        <f>IF(C7="","",IF(D7+1&gt;perTo,"",D7+1))</f>
        <v>46286</v>
      </c>
      <c r="D8" s="37">
        <f>IF(C8="","",MIN(perTo,C8+7-WEEKDAY(C8,2)))</f>
        <v>46292</v>
      </c>
      <c r="E8" s="14">
        <f>IF(C8="","",SUMIFS(tblLog[Часы],tblLog[Дата],"&gt;="&amp;$C8,tblLog[Дата],"&lt;="&amp;$D8))</f>
        <v>140.74</v>
      </c>
      <c r="F8" s="14">
        <f>IF(C8="","",SUMIFS(tblLog[ЧасыКОплате],tblLog[Оплачиваемо],yesFlag,tblLog[Дата],"&gt;="&amp;$C8,tblLog[Дата],"&lt;="&amp;$D8))</f>
        <v>137.75</v>
      </c>
      <c r="G8" s="14">
        <f>IF(C8="","",SUMIFS(tblLog[Сумма],tblLog[Дата],"&gt;="&amp;$C8,tblLog[Дата],"&lt;="&amp;$D8))</f>
        <v>351150</v>
      </c>
      <c r="H8" s="14">
        <f>IF(C8="","",SUMIFS(tblLog[ЗП],tblLog[Дата],"&gt;="&amp;$C8,tblLog[Дата],"&lt;="&amp;$D8))</f>
        <v>235335</v>
      </c>
      <c r="I8" s="14">
        <f>IF(C8="","",G8-H8)</f>
        <v>115815</v>
      </c>
    </row>
    <row r="9">
      <c r="B9" s="11">
        <f>IF(C9="","",5)</f>
        <v>5</v>
      </c>
      <c r="C9" s="37">
        <f>IF(C8="","",IF(D8+1&gt;perTo,"",D8+1))</f>
        <v>46293</v>
      </c>
      <c r="D9" s="37">
        <f>IF(C9="","",MIN(perTo,C9+7-WEEKDAY(C9,2)))</f>
        <v>46295</v>
      </c>
      <c r="E9" s="14">
        <f>IF(C9="","",SUMIFS(tblLog[Часы],tblLog[Дата],"&gt;="&amp;$C9,tblLog[Дата],"&lt;="&amp;$D9))</f>
        <v>90.28</v>
      </c>
      <c r="F9" s="14">
        <f>IF(C9="","",SUMIFS(tblLog[ЧасыКОплате],tblLog[Оплачиваемо],yesFlag,tblLog[Дата],"&gt;="&amp;$C9,tblLog[Дата],"&lt;="&amp;$D9))</f>
        <v>85.75</v>
      </c>
      <c r="G9" s="14">
        <f>IF(C9="","",SUMIFS(tblLog[Сумма],tblLog[Дата],"&gt;="&amp;$C9,tblLog[Дата],"&lt;="&amp;$D9))</f>
        <v>219800</v>
      </c>
      <c r="H9" s="14">
        <f>IF(C9="","",SUMIFS(tblLog[ЗП],tblLog[Дата],"&gt;="&amp;$C9,tblLog[Дата],"&lt;="&amp;$D9))</f>
        <v>155426</v>
      </c>
      <c r="I9" s="14">
        <f>IF(C9="","",G9-H9)</f>
        <v>64374</v>
      </c>
    </row>
    <row r="10">
      <c r="B10" s="11" t="str">
        <f>IF(C10="","",6)</f>
        <v/>
      </c>
      <c r="C10" s="37" t="str">
        <f>IF(C9="","",IF(D9+1&gt;perTo,"",D9+1))</f>
        <v/>
      </c>
      <c r="D10" s="37" t="str">
        <f>IF(C10="","",MIN(perTo,C10+7-WEEKDAY(C10,2)))</f>
        <v/>
      </c>
      <c r="E10" s="14" t="str">
        <f>IF(C10="","",SUMIFS(tblLog[Часы],tblLog[Дата],"&gt;="&amp;$C10,tblLog[Дата],"&lt;="&amp;$D10))</f>
        <v/>
      </c>
      <c r="F10" s="14" t="str">
        <f>IF(C10="","",SUMIFS(tblLog[ЧасыКОплате],tblLog[Оплачиваемо],yesFlag,tblLog[Дата],"&gt;="&amp;$C10,tblLog[Дата],"&lt;="&amp;$D10))</f>
        <v/>
      </c>
      <c r="G10" s="14" t="str">
        <f>IF(C10="","",SUMIFS(tblLog[Сумма],tblLog[Дата],"&gt;="&amp;$C10,tblLog[Дата],"&lt;="&amp;$D10))</f>
        <v/>
      </c>
      <c r="H10" s="14" t="str">
        <f>IF(C10="","",SUMIFS(tblLog[ЗП],tblLog[Дата],"&gt;="&amp;$C10,tblLog[Дата],"&lt;="&amp;$D10))</f>
        <v/>
      </c>
      <c r="I10" s="14" t="str">
        <f>IF(C10="","",G10-H10)</f>
        <v/>
      </c>
    </row>
    <row r="11">
      <c r="B11" s="34" t="inlineStr">
        <is>
          <t>Итого</t>
        </is>
      </c>
      <c r="C11" s="34" t="n"/>
      <c r="D11" s="34" t="n"/>
      <c r="E11" s="35">
        <f>SUM(E5:E10)</f>
        <v>634.75</v>
      </c>
      <c r="F11" s="35">
        <f>SUM(F5:F10)</f>
        <v>611.25</v>
      </c>
      <c r="G11" s="35">
        <f>SUM(G5:G10)</f>
        <v>1559050</v>
      </c>
      <c r="H11" s="35">
        <f>SUM(H5:H10)</f>
        <v>1076552</v>
      </c>
      <c r="I11" s="35">
        <f>SUM(I5:I10)</f>
        <v>482498</v>
      </c>
    </row>
    <row r="12">
      <c r="B12" s="3" t="inlineStr">
        <is>
          <t>Проверка: итог по неделям = итог счёта</t>
        </is>
      </c>
      <c r="G12" s="38" t="str">
        <f>IF(ABS(G11-invSubtotal)&lt;0.005,"✓ совпадает","✗ расходится")</f>
        <v>✓ совпадает</v>
      </c>
    </row>
    <row r="13">
      <c r="B13" s="39" t="str">
        <f>IF(AND(ISNUMBER(D10),D10&lt;perTo),"⚠ Период длиннее 6 недель — последние недели не показаны","")</f>
        <v/>
      </c>
    </row>
  </sheetData>
  <conditionalFormatting sqref="G12">
    <cfRule type="expression" priority="1" dxfId="0">
      <formula>LEFT(G12,1)="✓"</formula>
    </cfRule>
    <cfRule type="expression" priority="2" dxfId="1">
      <formula>LEFT(G12,1)="✗"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06"/>
  <sheetViews>
    <sheetView showGridLines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8" customWidth="1" min="3" max="3"/>
    <col width="26" customWidth="1" min="4" max="4"/>
    <col width="9" customWidth="1" min="5" max="5"/>
    <col width="13" customWidth="1" min="6" max="6"/>
    <col width="13" customWidth="1" min="7" max="7"/>
    <col width="11" customWidth="1" min="8" max="8"/>
    <col width="12" customWidth="1" min="9" max="9"/>
    <col width="11" customWidth="1" min="10" max="10"/>
    <col width="11" customWidth="1" min="11" max="11"/>
    <col width="70" customWidth="1" min="13" max="13"/>
  </cols>
  <sheetData>
    <row r="1">
      <c r="A1" s="40" t="inlineStr">
        <is>
          <t>Дата</t>
        </is>
      </c>
      <c r="B1" s="40" t="inlineStr">
        <is>
          <t>Сотрудник</t>
        </is>
      </c>
      <c r="C1" s="40" t="inlineStr">
        <is>
          <t>Проект</t>
        </is>
      </c>
      <c r="D1" s="40" t="inlineStr">
        <is>
          <t>Задача</t>
        </is>
      </c>
      <c r="E1" s="40" t="inlineStr">
        <is>
          <t>Часы</t>
        </is>
      </c>
      <c r="F1" s="40" t="inlineStr">
        <is>
          <t>Оплачиваемо</t>
        </is>
      </c>
      <c r="G1" s="40" t="inlineStr">
        <is>
          <t>ЧасыКОплате</t>
        </is>
      </c>
      <c r="H1" s="40" t="inlineStr">
        <is>
          <t>Ставка</t>
        </is>
      </c>
      <c r="I1" s="40" t="inlineStr">
        <is>
          <t>Сумма</t>
        </is>
      </c>
      <c r="J1" s="40" t="inlineStr">
        <is>
          <t>СтавкаЗП</t>
        </is>
      </c>
      <c r="K1" s="40" t="inlineStr">
        <is>
          <t>ЗП</t>
        </is>
      </c>
      <c r="M1" s="29" t="inlineStr">
        <is>
          <t>Новые строки вставляйте под таблицей: серые столбцы — формулы и заполнятся сами.</t>
        </is>
      </c>
    </row>
    <row r="2">
      <c r="A2" s="41" t="n">
        <v>46259</v>
      </c>
      <c r="B2" s="42" t="inlineStr">
        <is>
          <t>Варга Тео</t>
        </is>
      </c>
      <c r="C2" s="42" t="inlineStr">
        <is>
          <t>Клиентский портал</t>
        </is>
      </c>
      <c r="D2" s="42" t="inlineStr">
        <is>
          <t>Страница статуса заказа</t>
        </is>
      </c>
      <c r="E2" s="43" t="n">
        <v>2.95</v>
      </c>
      <c r="F2" s="42" t="inlineStr">
        <is>
          <t>Да</t>
        </is>
      </c>
      <c r="G2" s="44">
        <f>IF(billInc&gt;0,ROUNDUP(tblLog[[#This Row],[Часы]]/billInc,0)*billInc,tblLog[[#This Row],[Часы]])</f>
        <v>3</v>
      </c>
      <c r="H2" s="45">
        <f>IFERROR(INDEX(tblRates[СтавкаКлиенту],MATCH(tblLog[[#This Row],[Сотрудник]],tblRates[Сотрудник],0)),0)</f>
        <v>2600</v>
      </c>
      <c r="I2" s="45">
        <f>IF(tblLog[[#This Row],[Оплачиваемо]]=yesFlag,ROUND(tblLog[[#This Row],[ЧасыКОплате]]*tblLog[[#This Row],[Ставка]],2),0)</f>
        <v>7800</v>
      </c>
      <c r="J2" s="45">
        <f>IFERROR(INDEX(tblRates[СтавкаСотруднику],MATCH(tblLog[[#This Row],[Сотрудник]],tblRates[Сотрудник],0)),0)</f>
        <v>1700</v>
      </c>
      <c r="K2" s="45">
        <f>ROUND(tblLog[[#This Row],[Часы]]*tblLog[[#This Row],[СтавкаЗП]],2)</f>
        <v>5015</v>
      </c>
    </row>
    <row r="3">
      <c r="A3" s="41" t="n">
        <v>46259</v>
      </c>
      <c r="B3" s="42" t="inlineStr">
        <is>
          <t>Варга Тео</t>
        </is>
      </c>
      <c r="C3" s="42" t="inlineStr">
        <is>
          <t>Клиентский портал</t>
        </is>
      </c>
      <c r="D3" s="42" t="inlineStr">
        <is>
          <t>Код-ревью</t>
        </is>
      </c>
      <c r="E3" s="43" t="n">
        <v>3.05</v>
      </c>
      <c r="F3" s="42" t="inlineStr">
        <is>
          <t>Да</t>
        </is>
      </c>
      <c r="G3" s="44">
        <f>IF(billInc&gt;0,ROUNDUP(tblLog[[#This Row],[Часы]]/billInc,0)*billInc,tblLog[[#This Row],[Часы]])</f>
        <v>3.25</v>
      </c>
      <c r="H3" s="45">
        <f>IFERROR(INDEX(tblRates[СтавкаКлиенту],MATCH(tblLog[[#This Row],[Сотрудник]],tblRates[Сотрудник],0)),0)</f>
        <v>2600</v>
      </c>
      <c r="I3" s="45">
        <f>IF(tblLog[[#This Row],[Оплачиваемо]]=yesFlag,ROUND(tblLog[[#This Row],[ЧасыКОплате]]*tblLog[[#This Row],[Ставка]],2),0)</f>
        <v>8450</v>
      </c>
      <c r="J3" s="45">
        <f>IFERROR(INDEX(tblRates[СтавкаСотруднику],MATCH(tblLog[[#This Row],[Сотрудник]],tblRates[Сотрудник],0)),0)</f>
        <v>1700</v>
      </c>
      <c r="K3" s="45">
        <f>ROUND(tblLog[[#This Row],[Часы]]*tblLog[[#This Row],[СтавкаЗП]],2)</f>
        <v>5185</v>
      </c>
    </row>
    <row r="4">
      <c r="A4" s="41" t="n">
        <v>46259</v>
      </c>
      <c r="B4" s="42" t="inlineStr">
        <is>
          <t>Окафор Инес</t>
        </is>
      </c>
      <c r="C4" s="42" t="inlineStr">
        <is>
          <t>Клиентский портал</t>
        </is>
      </c>
      <c r="D4" s="42" t="inlineStr">
        <is>
          <t>Выгрузка отчётов</t>
        </is>
      </c>
      <c r="E4" s="43" t="n">
        <v>1.86</v>
      </c>
      <c r="F4" s="42" t="inlineStr">
        <is>
          <t>Да</t>
        </is>
      </c>
      <c r="G4" s="44">
        <f>IF(billInc&gt;0,ROUNDUP(tblLog[[#This Row],[Часы]]/billInc,0)*billInc,tblLog[[#This Row],[Часы]])</f>
        <v>2</v>
      </c>
      <c r="H4" s="45">
        <f>IFERROR(INDEX(tblRates[СтавкаКлиенту],MATCH(tblLog[[#This Row],[Сотрудник]],tblRates[Сотрудник],0)),0)</f>
        <v>1900</v>
      </c>
      <c r="I4" s="45">
        <f>IF(tblLog[[#This Row],[Оплачиваемо]]=yesFlag,ROUND(tblLog[[#This Row],[ЧасыКОплате]]*tblLog[[#This Row],[Ставка]],2),0)</f>
        <v>3800</v>
      </c>
      <c r="J4" s="45">
        <f>IFERROR(INDEX(tblRates[СтавкаСотруднику],MATCH(tblLog[[#This Row],[Сотрудник]],tblRates[Сотрудник],0)),0)</f>
        <v>1200</v>
      </c>
      <c r="K4" s="45">
        <f>ROUND(tblLog[[#This Row],[Часы]]*tblLog[[#This Row],[СтавкаЗП]],2)</f>
        <v>2232</v>
      </c>
    </row>
    <row r="5">
      <c r="A5" s="41" t="n">
        <v>46259</v>
      </c>
      <c r="B5" s="42" t="inlineStr">
        <is>
          <t>Окафор Инес</t>
        </is>
      </c>
      <c r="C5" s="42" t="inlineStr">
        <is>
          <t>Клиентский портал</t>
        </is>
      </c>
      <c r="D5" s="42" t="inlineStr">
        <is>
          <t>Код-ревью</t>
        </is>
      </c>
      <c r="E5" s="43" t="n">
        <v>3.14</v>
      </c>
      <c r="F5" s="42" t="inlineStr">
        <is>
          <t>Да</t>
        </is>
      </c>
      <c r="G5" s="44">
        <f>IF(billInc&gt;0,ROUNDUP(tblLog[[#This Row],[Часы]]/billInc,0)*billInc,tblLog[[#This Row],[Часы]])</f>
        <v>3.25</v>
      </c>
      <c r="H5" s="45">
        <f>IFERROR(INDEX(tblRates[СтавкаКлиенту],MATCH(tblLog[[#This Row],[Сотрудник]],tblRates[Сотрудник],0)),0)</f>
        <v>1900</v>
      </c>
      <c r="I5" s="45">
        <f>IF(tblLog[[#This Row],[Оплачиваемо]]=yesFlag,ROUND(tblLog[[#This Row],[ЧасыКОплате]]*tblLog[[#This Row],[Ставка]],2),0)</f>
        <v>6175</v>
      </c>
      <c r="J5" s="45">
        <f>IFERROR(INDEX(tblRates[СтавкаСотруднику],MATCH(tblLog[[#This Row],[Сотрудник]],tblRates[Сотрудник],0)),0)</f>
        <v>1200</v>
      </c>
      <c r="K5" s="45">
        <f>ROUND(tblLog[[#This Row],[Часы]]*tblLog[[#This Row],[СтавкаЗП]],2)</f>
        <v>3768</v>
      </c>
    </row>
    <row r="6">
      <c r="A6" s="41" t="n">
        <v>46259</v>
      </c>
      <c r="B6" s="42" t="inlineStr">
        <is>
          <t>Окафор Инес</t>
        </is>
      </c>
      <c r="C6" s="42" t="inlineStr">
        <is>
          <t>Клиентский портал</t>
        </is>
      </c>
      <c r="D6" s="42" t="inlineStr">
        <is>
          <t>Код-ревью</t>
        </is>
      </c>
      <c r="E6" s="43" t="n">
        <v>3</v>
      </c>
      <c r="F6" s="42" t="inlineStr">
        <is>
          <t>Да</t>
        </is>
      </c>
      <c r="G6" s="44">
        <f>IF(billInc&gt;0,ROUNDUP(tblLog[[#This Row],[Часы]]/billInc,0)*billInc,tblLog[[#This Row],[Часы]])</f>
        <v>3</v>
      </c>
      <c r="H6" s="45">
        <f>IFERROR(INDEX(tblRates[СтавкаКлиенту],MATCH(tblLog[[#This Row],[Сотрудник]],tblRates[Сотрудник],0)),0)</f>
        <v>1900</v>
      </c>
      <c r="I6" s="45">
        <f>IF(tblLog[[#This Row],[Оплачиваемо]]=yesFlag,ROUND(tblLog[[#This Row],[ЧасыКОплате]]*tblLog[[#This Row],[Ставка]],2),0)</f>
        <v>5700</v>
      </c>
      <c r="J6" s="45">
        <f>IFERROR(INDEX(tblRates[СтавкаСотруднику],MATCH(tblLog[[#This Row],[Сотрудник]],tblRates[Сотрудник],0)),0)</f>
        <v>1200</v>
      </c>
      <c r="K6" s="45">
        <f>ROUND(tblLog[[#This Row],[Часы]]*tblLog[[#This Row],[СтавкаЗП]],2)</f>
        <v>3600</v>
      </c>
    </row>
    <row r="7">
      <c r="A7" s="41" t="n">
        <v>46260</v>
      </c>
      <c r="B7" s="42" t="inlineStr">
        <is>
          <t>Бреннер Лука</t>
        </is>
      </c>
      <c r="C7" s="42" t="inlineStr">
        <is>
          <t>Мобильное приложение для цеха</t>
        </is>
      </c>
      <c r="D7" s="42" t="inlineStr">
        <is>
          <t>Сканирование штрихкодов</t>
        </is>
      </c>
      <c r="E7" s="43" t="n">
        <v>1.3</v>
      </c>
      <c r="F7" s="42" t="inlineStr">
        <is>
          <t>Да</t>
        </is>
      </c>
      <c r="G7" s="44">
        <f>IF(billInc&gt;0,ROUNDUP(tblLog[[#This Row],[Часы]]/billInc,0)*billInc,tblLog[[#This Row],[Часы]])</f>
        <v>1.5</v>
      </c>
      <c r="H7" s="45">
        <f>IFERROR(INDEX(tblRates[СтавкаКлиенту],MATCH(tblLog[[#This Row],[Сотрудник]],tblRates[Сотрудник],0)),0)</f>
        <v>2300</v>
      </c>
      <c r="I7" s="45">
        <f>IF(tblLog[[#This Row],[Оплачиваемо]]=yesFlag,ROUND(tblLog[[#This Row],[ЧасыКОплате]]*tblLog[[#This Row],[Ставка]],2),0)</f>
        <v>3450</v>
      </c>
      <c r="J7" s="45">
        <f>IFERROR(INDEX(tblRates[СтавкаСотруднику],MATCH(tblLog[[#This Row],[Сотрудник]],tblRates[Сотрудник],0)),0)</f>
        <v>1500</v>
      </c>
      <c r="K7" s="45">
        <f>ROUND(tblLog[[#This Row],[Часы]]*tblLog[[#This Row],[СтавкаЗП]],2)</f>
        <v>1950</v>
      </c>
    </row>
    <row r="8">
      <c r="A8" s="41" t="n">
        <v>46260</v>
      </c>
      <c r="B8" s="42" t="inlineStr">
        <is>
          <t>Бреннер Лука</t>
        </is>
      </c>
      <c r="C8" s="42" t="inlineStr">
        <is>
          <t>Мобильное приложение для цеха</t>
        </is>
      </c>
      <c r="D8" s="42" t="inlineStr">
        <is>
          <t>Push-уведомления</t>
        </is>
      </c>
      <c r="E8" s="43" t="n">
        <v>2.93</v>
      </c>
      <c r="F8" s="42" t="inlineStr">
        <is>
          <t>Да</t>
        </is>
      </c>
      <c r="G8" s="44">
        <f>IF(billInc&gt;0,ROUNDUP(tblLog[[#This Row],[Часы]]/billInc,0)*billInc,tblLog[[#This Row],[Часы]])</f>
        <v>3</v>
      </c>
      <c r="H8" s="45">
        <f>IFERROR(INDEX(tblRates[СтавкаКлиенту],MATCH(tblLog[[#This Row],[Сотрудник]],tblRates[Сотрудник],0)),0)</f>
        <v>2300</v>
      </c>
      <c r="I8" s="45">
        <f>IF(tblLog[[#This Row],[Оплачиваемо]]=yesFlag,ROUND(tblLog[[#This Row],[ЧасыКОплате]]*tblLog[[#This Row],[Ставка]],2),0)</f>
        <v>6900</v>
      </c>
      <c r="J8" s="45">
        <f>IFERROR(INDEX(tblRates[СтавкаСотруднику],MATCH(tblLog[[#This Row],[Сотрудник]],tblRates[Сотрудник],0)),0)</f>
        <v>1500</v>
      </c>
      <c r="K8" s="45">
        <f>ROUND(tblLog[[#This Row],[Часы]]*tblLog[[#This Row],[СтавкаЗП]],2)</f>
        <v>4395</v>
      </c>
    </row>
    <row r="9">
      <c r="A9" s="41" t="n">
        <v>46260</v>
      </c>
      <c r="B9" s="42" t="inlineStr">
        <is>
          <t>Бреннер Лука</t>
        </is>
      </c>
      <c r="C9" s="42" t="inlineStr">
        <is>
          <t>Клиентский портал</t>
        </is>
      </c>
      <c r="D9" s="42" t="inlineStr">
        <is>
          <t>Страница статуса заказа</t>
        </is>
      </c>
      <c r="E9" s="43" t="n">
        <v>3.29</v>
      </c>
      <c r="F9" s="42" t="inlineStr">
        <is>
          <t>Да</t>
        </is>
      </c>
      <c r="G9" s="44">
        <f>IF(billInc&gt;0,ROUNDUP(tblLog[[#This Row],[Часы]]/billInc,0)*billInc,tblLog[[#This Row],[Часы]])</f>
        <v>3.5</v>
      </c>
      <c r="H9" s="45">
        <f>IFERROR(INDEX(tblRates[СтавкаКлиенту],MATCH(tblLog[[#This Row],[Сотрудник]],tblRates[Сотрудник],0)),0)</f>
        <v>2300</v>
      </c>
      <c r="I9" s="45">
        <f>IF(tblLog[[#This Row],[Оплачиваемо]]=yesFlag,ROUND(tblLog[[#This Row],[ЧасыКОплате]]*tblLog[[#This Row],[Ставка]],2),0)</f>
        <v>8050</v>
      </c>
      <c r="J9" s="45">
        <f>IFERROR(INDEX(tblRates[СтавкаСотруднику],MATCH(tblLog[[#This Row],[Сотрудник]],tblRates[Сотрудник],0)),0)</f>
        <v>1500</v>
      </c>
      <c r="K9" s="45">
        <f>ROUND(tblLog[[#This Row],[Часы]]*tblLog[[#This Row],[СтавкаЗП]],2)</f>
        <v>4935</v>
      </c>
    </row>
    <row r="10">
      <c r="A10" s="41" t="n">
        <v>46260</v>
      </c>
      <c r="B10" s="42" t="inlineStr">
        <is>
          <t>Бреннер Лука</t>
        </is>
      </c>
      <c r="C10" s="42" t="inlineStr">
        <is>
          <t>Мобильное приложение для цеха</t>
        </is>
      </c>
      <c r="D10" s="42" t="inlineStr">
        <is>
          <t>Сканирование штрихкодов</t>
        </is>
      </c>
      <c r="E10" s="43" t="n">
        <v>0.48</v>
      </c>
      <c r="F10" s="42" t="inlineStr">
        <is>
          <t>Да</t>
        </is>
      </c>
      <c r="G10" s="44">
        <f>IF(billInc&gt;0,ROUNDUP(tblLog[[#This Row],[Часы]]/billInc,0)*billInc,tblLog[[#This Row],[Часы]])</f>
        <v>0.5</v>
      </c>
      <c r="H10" s="45">
        <f>IFERROR(INDEX(tblRates[СтавкаКлиенту],MATCH(tblLog[[#This Row],[Сотрудник]],tblRates[Сотрудник],0)),0)</f>
        <v>2300</v>
      </c>
      <c r="I10" s="45">
        <f>IF(tblLog[[#This Row],[Оплачиваемо]]=yesFlag,ROUND(tblLog[[#This Row],[ЧасыКОплате]]*tblLog[[#This Row],[Ставка]],2),0)</f>
        <v>1150</v>
      </c>
      <c r="J10" s="45">
        <f>IFERROR(INDEX(tblRates[СтавкаСотруднику],MATCH(tblLog[[#This Row],[Сотрудник]],tblRates[Сотрудник],0)),0)</f>
        <v>1500</v>
      </c>
      <c r="K10" s="45">
        <f>ROUND(tblLog[[#This Row],[Часы]]*tblLog[[#This Row],[СтавкаЗП]],2)</f>
        <v>720</v>
      </c>
    </row>
    <row r="11">
      <c r="A11" s="41" t="n">
        <v>46260</v>
      </c>
      <c r="B11" s="42" t="inlineStr">
        <is>
          <t>Варга Тео</t>
        </is>
      </c>
      <c r="C11" s="42" t="inlineStr">
        <is>
          <t>Клиентский портал</t>
        </is>
      </c>
      <c r="D11" s="42" t="inlineStr">
        <is>
          <t>Авторизация и роли</t>
        </is>
      </c>
      <c r="E11" s="43" t="n">
        <v>0.35</v>
      </c>
      <c r="F11" s="42" t="inlineStr">
        <is>
          <t>Да</t>
        </is>
      </c>
      <c r="G11" s="44">
        <f>IF(billInc&gt;0,ROUNDUP(tblLog[[#This Row],[Часы]]/billInc,0)*billInc,tblLog[[#This Row],[Часы]])</f>
        <v>0.5</v>
      </c>
      <c r="H11" s="45">
        <f>IFERROR(INDEX(tblRates[СтавкаКлиенту],MATCH(tblLog[[#This Row],[Сотрудник]],tblRates[Сотрудник],0)),0)</f>
        <v>2600</v>
      </c>
      <c r="I11" s="45">
        <f>IF(tblLog[[#This Row],[Оплачиваемо]]=yesFlag,ROUND(tblLog[[#This Row],[ЧасыКОплате]]*tblLog[[#This Row],[Ставка]],2),0)</f>
        <v>1300</v>
      </c>
      <c r="J11" s="45">
        <f>IFERROR(INDEX(tblRates[СтавкаСотруднику],MATCH(tblLog[[#This Row],[Сотрудник]],tblRates[Сотрудник],0)),0)</f>
        <v>1700</v>
      </c>
      <c r="K11" s="45">
        <f>ROUND(tblLog[[#This Row],[Часы]]*tblLog[[#This Row],[СтавкаЗП]],2)</f>
        <v>595</v>
      </c>
    </row>
    <row r="12">
      <c r="A12" s="41" t="n">
        <v>46260</v>
      </c>
      <c r="B12" s="42" t="inlineStr">
        <is>
          <t>Варга Тео</t>
        </is>
      </c>
      <c r="C12" s="42" t="inlineStr">
        <is>
          <t>Мобильное приложение для цеха</t>
        </is>
      </c>
      <c r="D12" s="42" t="inlineStr">
        <is>
          <t>Офлайн-синхронизация</t>
        </is>
      </c>
      <c r="E12" s="43" t="n">
        <v>0.55</v>
      </c>
      <c r="F12" s="42" t="inlineStr">
        <is>
          <t>Да</t>
        </is>
      </c>
      <c r="G12" s="44">
        <f>IF(billInc&gt;0,ROUNDUP(tblLog[[#This Row],[Часы]]/billInc,0)*billInc,tblLog[[#This Row],[Часы]])</f>
        <v>0.75</v>
      </c>
      <c r="H12" s="45">
        <f>IFERROR(INDEX(tblRates[СтавкаКлиенту],MATCH(tblLog[[#This Row],[Сотрудник]],tblRates[Сотрудник],0)),0)</f>
        <v>2600</v>
      </c>
      <c r="I12" s="45">
        <f>IF(tblLog[[#This Row],[Оплачиваемо]]=yesFlag,ROUND(tblLog[[#This Row],[ЧасыКОплате]]*tblLog[[#This Row],[Ставка]],2),0)</f>
        <v>1950</v>
      </c>
      <c r="J12" s="45">
        <f>IFERROR(INDEX(tblRates[СтавкаСотруднику],MATCH(tblLog[[#This Row],[Сотрудник]],tblRates[Сотрудник],0)),0)</f>
        <v>1700</v>
      </c>
      <c r="K12" s="45">
        <f>ROUND(tblLog[[#This Row],[Часы]]*tblLog[[#This Row],[СтавкаЗП]],2)</f>
        <v>935</v>
      </c>
    </row>
    <row r="13">
      <c r="A13" s="41" t="n">
        <v>46260</v>
      </c>
      <c r="B13" s="42" t="inlineStr">
        <is>
          <t>Варга Тео</t>
        </is>
      </c>
      <c r="C13" s="42" t="inlineStr">
        <is>
          <t>Клиентский портал</t>
        </is>
      </c>
      <c r="D13" s="42" t="inlineStr">
        <is>
          <t>Страница статуса заказа</t>
        </is>
      </c>
      <c r="E13" s="43" t="n">
        <v>2</v>
      </c>
      <c r="F13" s="42" t="inlineStr">
        <is>
          <t>Да</t>
        </is>
      </c>
      <c r="G13" s="44">
        <f>IF(billInc&gt;0,ROUNDUP(tblLog[[#This Row],[Часы]]/billInc,0)*billInc,tblLog[[#This Row],[Часы]])</f>
        <v>2</v>
      </c>
      <c r="H13" s="45">
        <f>IFERROR(INDEX(tblRates[СтавкаКлиенту],MATCH(tblLog[[#This Row],[Сотрудник]],tblRates[Сотрудник],0)),0)</f>
        <v>2600</v>
      </c>
      <c r="I13" s="45">
        <f>IF(tblLog[[#This Row],[Оплачиваемо]]=yesFlag,ROUND(tblLog[[#This Row],[ЧасыКОплате]]*tblLog[[#This Row],[Ставка]],2),0)</f>
        <v>5200</v>
      </c>
      <c r="J13" s="45">
        <f>IFERROR(INDEX(tblRates[СтавкаСотруднику],MATCH(tblLog[[#This Row],[Сотрудник]],tblRates[Сотрудник],0)),0)</f>
        <v>1700</v>
      </c>
      <c r="K13" s="45">
        <f>ROUND(tblLog[[#This Row],[Часы]]*tblLog[[#This Row],[СтавкаЗП]],2)</f>
        <v>3400</v>
      </c>
    </row>
    <row r="14">
      <c r="A14" s="41" t="n">
        <v>46260</v>
      </c>
      <c r="B14" s="42" t="inlineStr">
        <is>
          <t>Варга Тео</t>
        </is>
      </c>
      <c r="C14" s="42" t="inlineStr">
        <is>
          <t>Клиентский портал</t>
        </is>
      </c>
      <c r="D14" s="42" t="inlineStr">
        <is>
          <t>Авторизация и роли</t>
        </is>
      </c>
      <c r="E14" s="43" t="n">
        <v>3.27</v>
      </c>
      <c r="F14" s="42" t="inlineStr">
        <is>
          <t>Да</t>
        </is>
      </c>
      <c r="G14" s="44">
        <f>IF(billInc&gt;0,ROUNDUP(tblLog[[#This Row],[Часы]]/billInc,0)*billInc,tblLog[[#This Row],[Часы]])</f>
        <v>3.5</v>
      </c>
      <c r="H14" s="45">
        <f>IFERROR(INDEX(tblRates[СтавкаКлиенту],MATCH(tblLog[[#This Row],[Сотрудник]],tblRates[Сотрудник],0)),0)</f>
        <v>2600</v>
      </c>
      <c r="I14" s="45">
        <f>IF(tblLog[[#This Row],[Оплачиваемо]]=yesFlag,ROUND(tblLog[[#This Row],[ЧасыКОплате]]*tblLog[[#This Row],[Ставка]],2),0)</f>
        <v>9100</v>
      </c>
      <c r="J14" s="45">
        <f>IFERROR(INDEX(tblRates[СтавкаСотруднику],MATCH(tblLog[[#This Row],[Сотрудник]],tblRates[Сотрудник],0)),0)</f>
        <v>1700</v>
      </c>
      <c r="K14" s="45">
        <f>ROUND(tblLog[[#This Row],[Часы]]*tblLog[[#This Row],[СтавкаЗП]],2)</f>
        <v>5559</v>
      </c>
    </row>
    <row r="15">
      <c r="A15" s="41" t="n">
        <v>46260</v>
      </c>
      <c r="B15" s="42" t="inlineStr">
        <is>
          <t>Варга Тео</t>
        </is>
      </c>
      <c r="C15" s="42" t="inlineStr">
        <is>
          <t>Клиентский портал</t>
        </is>
      </c>
      <c r="D15" s="42" t="inlineStr">
        <is>
          <t>Выгрузка отчётов</t>
        </is>
      </c>
      <c r="E15" s="43" t="n">
        <v>2.02</v>
      </c>
      <c r="F15" s="42" t="inlineStr">
        <is>
          <t>Да</t>
        </is>
      </c>
      <c r="G15" s="44">
        <f>IF(billInc&gt;0,ROUNDUP(tblLog[[#This Row],[Часы]]/billInc,0)*billInc,tblLog[[#This Row],[Часы]])</f>
        <v>2.25</v>
      </c>
      <c r="H15" s="45">
        <f>IFERROR(INDEX(tblRates[СтавкаКлиенту],MATCH(tblLog[[#This Row],[Сотрудник]],tblRates[Сотрудник],0)),0)</f>
        <v>2600</v>
      </c>
      <c r="I15" s="45">
        <f>IF(tblLog[[#This Row],[Оплачиваемо]]=yesFlag,ROUND(tblLog[[#This Row],[ЧасыКОплате]]*tblLog[[#This Row],[Ставка]],2),0)</f>
        <v>5850</v>
      </c>
      <c r="J15" s="45">
        <f>IFERROR(INDEX(tblRates[СтавкаСотруднику],MATCH(tblLog[[#This Row],[Сотрудник]],tblRates[Сотрудник],0)),0)</f>
        <v>1700</v>
      </c>
      <c r="K15" s="45">
        <f>ROUND(tblLog[[#This Row],[Часы]]*tblLog[[#This Row],[СтавкаЗП]],2)</f>
        <v>3434</v>
      </c>
    </row>
    <row r="16">
      <c r="A16" s="41" t="n">
        <v>46260</v>
      </c>
      <c r="B16" s="42" t="inlineStr">
        <is>
          <t>Варга Тео</t>
        </is>
      </c>
      <c r="C16" s="42" t="inlineStr">
        <is>
          <t>Клиентский портал</t>
        </is>
      </c>
      <c r="D16" s="42" t="inlineStr">
        <is>
          <t>Код-ревью</t>
        </is>
      </c>
      <c r="E16" s="43" t="n">
        <v>0.31</v>
      </c>
      <c r="F16" s="42" t="inlineStr">
        <is>
          <t>Да</t>
        </is>
      </c>
      <c r="G16" s="44">
        <f>IF(billInc&gt;0,ROUNDUP(tblLog[[#This Row],[Часы]]/billInc,0)*billInc,tblLog[[#This Row],[Часы]])</f>
        <v>0.5</v>
      </c>
      <c r="H16" s="45">
        <f>IFERROR(INDEX(tblRates[СтавкаКлиенту],MATCH(tblLog[[#This Row],[Сотрудник]],tblRates[Сотрудник],0)),0)</f>
        <v>2600</v>
      </c>
      <c r="I16" s="45">
        <f>IF(tblLog[[#This Row],[Оплачиваемо]]=yesFlag,ROUND(tblLog[[#This Row],[ЧасыКОплате]]*tblLog[[#This Row],[Ставка]],2),0)</f>
        <v>1300</v>
      </c>
      <c r="J16" s="45">
        <f>IFERROR(INDEX(tblRates[СтавкаСотруднику],MATCH(tblLog[[#This Row],[Сотрудник]],tblRates[Сотрудник],0)),0)</f>
        <v>1700</v>
      </c>
      <c r="K16" s="45">
        <f>ROUND(tblLog[[#This Row],[Часы]]*tblLog[[#This Row],[СтавкаЗП]],2)</f>
        <v>527</v>
      </c>
    </row>
    <row r="17">
      <c r="A17" s="41" t="n">
        <v>46260</v>
      </c>
      <c r="B17" s="42" t="inlineStr">
        <is>
          <t>Окафор Инес</t>
        </is>
      </c>
      <c r="C17" s="42" t="inlineStr">
        <is>
          <t>Мобильное приложение для цеха</t>
        </is>
      </c>
      <c r="D17" s="42" t="inlineStr">
        <is>
          <t>Push-уведомления</t>
        </is>
      </c>
      <c r="E17" s="43" t="n">
        <v>3.92</v>
      </c>
      <c r="F17" s="42" t="inlineStr">
        <is>
          <t>Да</t>
        </is>
      </c>
      <c r="G17" s="44">
        <f>IF(billInc&gt;0,ROUNDUP(tblLog[[#This Row],[Часы]]/billInc,0)*billInc,tblLog[[#This Row],[Часы]])</f>
        <v>4</v>
      </c>
      <c r="H17" s="45">
        <f>IFERROR(INDEX(tblRates[СтавкаКлиенту],MATCH(tblLog[[#This Row],[Сотрудник]],tblRates[Сотрудник],0)),0)</f>
        <v>1900</v>
      </c>
      <c r="I17" s="45">
        <f>IF(tblLog[[#This Row],[Оплачиваемо]]=yesFlag,ROUND(tblLog[[#This Row],[ЧасыКОплате]]*tblLog[[#This Row],[Ставка]],2),0)</f>
        <v>7600</v>
      </c>
      <c r="J17" s="45">
        <f>IFERROR(INDEX(tblRates[СтавкаСотруднику],MATCH(tblLog[[#This Row],[Сотрудник]],tblRates[Сотрудник],0)),0)</f>
        <v>1200</v>
      </c>
      <c r="K17" s="45">
        <f>ROUND(tblLog[[#This Row],[Часы]]*tblLog[[#This Row],[СтавкаЗП]],2)</f>
        <v>4704</v>
      </c>
    </row>
    <row r="18">
      <c r="A18" s="41" t="n">
        <v>46260</v>
      </c>
      <c r="B18" s="42" t="inlineStr">
        <is>
          <t>Окафор Инес</t>
        </is>
      </c>
      <c r="C18" s="42" t="inlineStr">
        <is>
          <t>Клиентский портал</t>
        </is>
      </c>
      <c r="D18" s="42" t="inlineStr">
        <is>
          <t>Страница статуса заказа</t>
        </is>
      </c>
      <c r="E18" s="43" t="n">
        <v>2.91</v>
      </c>
      <c r="F18" s="42" t="inlineStr">
        <is>
          <t>Да</t>
        </is>
      </c>
      <c r="G18" s="44">
        <f>IF(billInc&gt;0,ROUNDUP(tblLog[[#This Row],[Часы]]/billInc,0)*billInc,tblLog[[#This Row],[Часы]])</f>
        <v>3</v>
      </c>
      <c r="H18" s="45">
        <f>IFERROR(INDEX(tblRates[СтавкаКлиенту],MATCH(tblLog[[#This Row],[Сотрудник]],tblRates[Сотрудник],0)),0)</f>
        <v>1900</v>
      </c>
      <c r="I18" s="45">
        <f>IF(tblLog[[#This Row],[Оплачиваемо]]=yesFlag,ROUND(tblLog[[#This Row],[ЧасыКОплате]]*tblLog[[#This Row],[Ставка]],2),0)</f>
        <v>5700</v>
      </c>
      <c r="J18" s="45">
        <f>IFERROR(INDEX(tblRates[СтавкаСотруднику],MATCH(tblLog[[#This Row],[Сотрудник]],tblRates[Сотрудник],0)),0)</f>
        <v>1200</v>
      </c>
      <c r="K18" s="45">
        <f>ROUND(tblLog[[#This Row],[Часы]]*tblLog[[#This Row],[СтавкаЗП]],2)</f>
        <v>3492</v>
      </c>
    </row>
    <row r="19">
      <c r="A19" s="41" t="n">
        <v>46260</v>
      </c>
      <c r="B19" s="42" t="inlineStr">
        <is>
          <t>Окафор Инес</t>
        </is>
      </c>
      <c r="C19" s="42" t="inlineStr">
        <is>
          <t>Мобильное приложение для цеха</t>
        </is>
      </c>
      <c r="D19" s="42" t="inlineStr">
        <is>
          <t>Push-уведомления</t>
        </is>
      </c>
      <c r="E19" s="43" t="n">
        <v>1.67</v>
      </c>
      <c r="F19" s="42" t="inlineStr">
        <is>
          <t>Да</t>
        </is>
      </c>
      <c r="G19" s="44">
        <f>IF(billInc&gt;0,ROUNDUP(tblLog[[#This Row],[Часы]]/billInc,0)*billInc,tblLog[[#This Row],[Часы]])</f>
        <v>1.75</v>
      </c>
      <c r="H19" s="45">
        <f>IFERROR(INDEX(tblRates[СтавкаКлиенту],MATCH(tblLog[[#This Row],[Сотрудник]],tblRates[Сотрудник],0)),0)</f>
        <v>1900</v>
      </c>
      <c r="I19" s="45">
        <f>IF(tblLog[[#This Row],[Оплачиваемо]]=yesFlag,ROUND(tblLog[[#This Row],[ЧасыКОплате]]*tblLog[[#This Row],[Ставка]],2),0)</f>
        <v>3325</v>
      </c>
      <c r="J19" s="45">
        <f>IFERROR(INDEX(tblRates[СтавкаСотруднику],MATCH(tblLog[[#This Row],[Сотрудник]],tblRates[Сотрудник],0)),0)</f>
        <v>1200</v>
      </c>
      <c r="K19" s="45">
        <f>ROUND(tblLog[[#This Row],[Часы]]*tblLog[[#This Row],[СтавкаЗП]],2)</f>
        <v>2004</v>
      </c>
    </row>
    <row r="20">
      <c r="A20" s="41" t="n">
        <v>46260</v>
      </c>
      <c r="B20" s="42" t="inlineStr">
        <is>
          <t>Сольберг Мира</t>
        </is>
      </c>
      <c r="C20" s="42" t="inlineStr">
        <is>
          <t>Поддержка</t>
        </is>
      </c>
      <c r="D20" s="42" t="inlineStr">
        <is>
          <t>Исправление ошибок</t>
        </is>
      </c>
      <c r="E20" s="43" t="n">
        <v>2.83</v>
      </c>
      <c r="F20" s="42" t="inlineStr">
        <is>
          <t>Да</t>
        </is>
      </c>
      <c r="G20" s="44">
        <f>IF(billInc&gt;0,ROUNDUP(tblLog[[#This Row],[Часы]]/billInc,0)*billInc,tblLog[[#This Row],[Часы]])</f>
        <v>3</v>
      </c>
      <c r="H20" s="45">
        <f>IFERROR(INDEX(tblRates[СтавкаКлиенту],MATCH(tblLog[[#This Row],[Сотрудник]],tblRates[Сотрудник],0)),0)</f>
        <v>3500</v>
      </c>
      <c r="I20" s="45">
        <f>IF(tblLog[[#This Row],[Оплачиваемо]]=yesFlag,ROUND(tblLog[[#This Row],[ЧасыКОплате]]*tblLog[[#This Row],[Ставка]],2),0)</f>
        <v>10500</v>
      </c>
      <c r="J20" s="45">
        <f>IFERROR(INDEX(tblRates[СтавкаСотруднику],MATCH(tblLog[[#This Row],[Сотрудник]],tblRates[Сотрудник],0)),0)</f>
        <v>2400</v>
      </c>
      <c r="K20" s="45">
        <f>ROUND(tblLog[[#This Row],[Часы]]*tblLog[[#This Row],[СтавкаЗП]],2)</f>
        <v>6792</v>
      </c>
    </row>
    <row r="21">
      <c r="A21" s="41" t="n">
        <v>46260</v>
      </c>
      <c r="B21" s="42" t="inlineStr">
        <is>
          <t>Сольберг Мира</t>
        </is>
      </c>
      <c r="C21" s="42" t="inlineStr">
        <is>
          <t>Мобильное приложение для цеха</t>
        </is>
      </c>
      <c r="D21" s="42" t="inlineStr">
        <is>
          <t>Push-уведомления</t>
        </is>
      </c>
      <c r="E21" s="43" t="n">
        <v>1.54</v>
      </c>
      <c r="F21" s="42" t="inlineStr">
        <is>
          <t>Да</t>
        </is>
      </c>
      <c r="G21" s="44">
        <f>IF(billInc&gt;0,ROUNDUP(tblLog[[#This Row],[Часы]]/billInc,0)*billInc,tblLog[[#This Row],[Часы]])</f>
        <v>1.75</v>
      </c>
      <c r="H21" s="45">
        <f>IFERROR(INDEX(tblRates[СтавкаКлиенту],MATCH(tblLog[[#This Row],[Сотрудник]],tblRates[Сотрудник],0)),0)</f>
        <v>3500</v>
      </c>
      <c r="I21" s="45">
        <f>IF(tblLog[[#This Row],[Оплачиваемо]]=yesFlag,ROUND(tblLog[[#This Row],[ЧасыКОплате]]*tblLog[[#This Row],[Ставка]],2),0)</f>
        <v>6125</v>
      </c>
      <c r="J21" s="45">
        <f>IFERROR(INDEX(tblRates[СтавкаСотруднику],MATCH(tblLog[[#This Row],[Сотрудник]],tblRates[Сотрудник],0)),0)</f>
        <v>2400</v>
      </c>
      <c r="K21" s="45">
        <f>ROUND(tblLog[[#This Row],[Часы]]*tblLog[[#This Row],[СтавкаЗП]],2)</f>
        <v>3696</v>
      </c>
    </row>
    <row r="22">
      <c r="A22" s="41" t="n">
        <v>46260</v>
      </c>
      <c r="B22" s="42" t="inlineStr">
        <is>
          <t>Сольберг Мира</t>
        </is>
      </c>
      <c r="C22" s="42" t="inlineStr">
        <is>
          <t>Клиентский портал</t>
        </is>
      </c>
      <c r="D22" s="42" t="inlineStr">
        <is>
          <t>Выгрузка отчётов</t>
        </is>
      </c>
      <c r="E22" s="43" t="n">
        <v>2.57</v>
      </c>
      <c r="F22" s="42" t="inlineStr">
        <is>
          <t>Да</t>
        </is>
      </c>
      <c r="G22" s="44">
        <f>IF(billInc&gt;0,ROUNDUP(tblLog[[#This Row],[Часы]]/billInc,0)*billInc,tblLog[[#This Row],[Часы]])</f>
        <v>2.75</v>
      </c>
      <c r="H22" s="45">
        <f>IFERROR(INDEX(tblRates[СтавкаКлиенту],MATCH(tblLog[[#This Row],[Сотрудник]],tblRates[Сотрудник],0)),0)</f>
        <v>3500</v>
      </c>
      <c r="I22" s="45">
        <f>IF(tblLog[[#This Row],[Оплачиваемо]]=yesFlag,ROUND(tblLog[[#This Row],[ЧасыКОплате]]*tblLog[[#This Row],[Ставка]],2),0)</f>
        <v>9625</v>
      </c>
      <c r="J22" s="45">
        <f>IFERROR(INDEX(tblRates[СтавкаСотруднику],MATCH(tblLog[[#This Row],[Сотрудник]],tblRates[Сотрудник],0)),0)</f>
        <v>2400</v>
      </c>
      <c r="K22" s="45">
        <f>ROUND(tblLog[[#This Row],[Часы]]*tblLog[[#This Row],[СтавкаЗП]],2)</f>
        <v>6168</v>
      </c>
    </row>
    <row r="23">
      <c r="A23" s="41" t="n">
        <v>46260</v>
      </c>
      <c r="B23" s="42" t="inlineStr">
        <is>
          <t>Сольберг Мира</t>
        </is>
      </c>
      <c r="C23" s="42" t="inlineStr">
        <is>
          <t>Мобильное приложение для цеха</t>
        </is>
      </c>
      <c r="D23" s="42" t="inlineStr">
        <is>
          <t>Push-уведомления</t>
        </is>
      </c>
      <c r="E23" s="43" t="n">
        <v>1.06</v>
      </c>
      <c r="F23" s="42" t="inlineStr">
        <is>
          <t>Да</t>
        </is>
      </c>
      <c r="G23" s="44">
        <f>IF(billInc&gt;0,ROUNDUP(tblLog[[#This Row],[Часы]]/billInc,0)*billInc,tblLog[[#This Row],[Часы]])</f>
        <v>1.25</v>
      </c>
      <c r="H23" s="45">
        <f>IFERROR(INDEX(tblRates[СтавкаКлиенту],MATCH(tblLog[[#This Row],[Сотрудник]],tblRates[Сотрудник],0)),0)</f>
        <v>3500</v>
      </c>
      <c r="I23" s="45">
        <f>IF(tblLog[[#This Row],[Оплачиваемо]]=yesFlag,ROUND(tblLog[[#This Row],[ЧасыКОплате]]*tblLog[[#This Row],[Ставка]],2),0)</f>
        <v>4375</v>
      </c>
      <c r="J23" s="45">
        <f>IFERROR(INDEX(tblRates[СтавкаСотруднику],MATCH(tblLog[[#This Row],[Сотрудник]],tblRates[Сотрудник],0)),0)</f>
        <v>2400</v>
      </c>
      <c r="K23" s="45">
        <f>ROUND(tblLog[[#This Row],[Часы]]*tblLog[[#This Row],[СтавкаЗП]],2)</f>
        <v>2544</v>
      </c>
    </row>
    <row r="24">
      <c r="A24" s="41" t="n">
        <v>46261</v>
      </c>
      <c r="B24" s="42" t="inlineStr">
        <is>
          <t>Бреннер Лука</t>
        </is>
      </c>
      <c r="C24" s="42" t="inlineStr">
        <is>
          <t>Мобильное приложение для цеха</t>
        </is>
      </c>
      <c r="D24" s="42" t="inlineStr">
        <is>
          <t>Сканирование штрихкодов</t>
        </is>
      </c>
      <c r="E24" s="43" t="n">
        <v>0.48</v>
      </c>
      <c r="F24" s="42" t="inlineStr">
        <is>
          <t>Да</t>
        </is>
      </c>
      <c r="G24" s="44">
        <f>IF(billInc&gt;0,ROUNDUP(tblLog[[#This Row],[Часы]]/billInc,0)*billInc,tblLog[[#This Row],[Часы]])</f>
        <v>0.5</v>
      </c>
      <c r="H24" s="45">
        <f>IFERROR(INDEX(tblRates[СтавкаКлиенту],MATCH(tblLog[[#This Row],[Сотрудник]],tblRates[Сотрудник],0)),0)</f>
        <v>2300</v>
      </c>
      <c r="I24" s="45">
        <f>IF(tblLog[[#This Row],[Оплачиваемо]]=yesFlag,ROUND(tblLog[[#This Row],[ЧасыКОплате]]*tblLog[[#This Row],[Ставка]],2),0)</f>
        <v>1150</v>
      </c>
      <c r="J24" s="45">
        <f>IFERROR(INDEX(tblRates[СтавкаСотруднику],MATCH(tblLog[[#This Row],[Сотрудник]],tblRates[Сотрудник],0)),0)</f>
        <v>1500</v>
      </c>
      <c r="K24" s="45">
        <f>ROUND(tblLog[[#This Row],[Часы]]*tblLog[[#This Row],[СтавкаЗП]],2)</f>
        <v>720</v>
      </c>
    </row>
    <row r="25">
      <c r="A25" s="41" t="n">
        <v>46261</v>
      </c>
      <c r="B25" s="42" t="inlineStr">
        <is>
          <t>Бреннер Лука</t>
        </is>
      </c>
      <c r="C25" s="42" t="inlineStr">
        <is>
          <t>Мобильное приложение для цеха</t>
        </is>
      </c>
      <c r="D25" s="42" t="inlineStr">
        <is>
          <t>Сканирование штрихкодов</t>
        </is>
      </c>
      <c r="E25" s="43" t="n">
        <v>3.88</v>
      </c>
      <c r="F25" s="42" t="inlineStr">
        <is>
          <t>Да</t>
        </is>
      </c>
      <c r="G25" s="44">
        <f>IF(billInc&gt;0,ROUNDUP(tblLog[[#This Row],[Часы]]/billInc,0)*billInc,tblLog[[#This Row],[Часы]])</f>
        <v>4</v>
      </c>
      <c r="H25" s="45">
        <f>IFERROR(INDEX(tblRates[СтавкаКлиенту],MATCH(tblLog[[#This Row],[Сотрудник]],tblRates[Сотрудник],0)),0)</f>
        <v>2300</v>
      </c>
      <c r="I25" s="45">
        <f>IF(tblLog[[#This Row],[Оплачиваемо]]=yesFlag,ROUND(tblLog[[#This Row],[ЧасыКОплате]]*tblLog[[#This Row],[Ставка]],2),0)</f>
        <v>9200</v>
      </c>
      <c r="J25" s="45">
        <f>IFERROR(INDEX(tblRates[СтавкаСотруднику],MATCH(tblLog[[#This Row],[Сотрудник]],tblRates[Сотрудник],0)),0)</f>
        <v>1500</v>
      </c>
      <c r="K25" s="45">
        <f>ROUND(tblLog[[#This Row],[Часы]]*tblLog[[#This Row],[СтавкаЗП]],2)</f>
        <v>5820</v>
      </c>
    </row>
    <row r="26">
      <c r="A26" s="41" t="n">
        <v>46261</v>
      </c>
      <c r="B26" s="42" t="inlineStr">
        <is>
          <t>Бреннер Лука</t>
        </is>
      </c>
      <c r="C26" s="42" t="inlineStr">
        <is>
          <t>Мобильное приложение для цеха</t>
        </is>
      </c>
      <c r="D26" s="42" t="inlineStr">
        <is>
          <t>Push-уведомления</t>
        </is>
      </c>
      <c r="E26" s="43" t="n">
        <v>2.98</v>
      </c>
      <c r="F26" s="42" t="inlineStr">
        <is>
          <t>Да</t>
        </is>
      </c>
      <c r="G26" s="44">
        <f>IF(billInc&gt;0,ROUNDUP(tblLog[[#This Row],[Часы]]/billInc,0)*billInc,tblLog[[#This Row],[Часы]])</f>
        <v>3</v>
      </c>
      <c r="H26" s="45">
        <f>IFERROR(INDEX(tblRates[СтавкаКлиенту],MATCH(tblLog[[#This Row],[Сотрудник]],tblRates[Сотрудник],0)),0)</f>
        <v>2300</v>
      </c>
      <c r="I26" s="45">
        <f>IF(tblLog[[#This Row],[Оплачиваемо]]=yesFlag,ROUND(tblLog[[#This Row],[ЧасыКОплате]]*tblLog[[#This Row],[Ставка]],2),0)</f>
        <v>6900</v>
      </c>
      <c r="J26" s="45">
        <f>IFERROR(INDEX(tblRates[СтавкаСотруднику],MATCH(tblLog[[#This Row],[Сотрудник]],tblRates[Сотрудник],0)),0)</f>
        <v>1500</v>
      </c>
      <c r="K26" s="45">
        <f>ROUND(tblLog[[#This Row],[Часы]]*tblLog[[#This Row],[СтавкаЗП]],2)</f>
        <v>4470</v>
      </c>
    </row>
    <row r="27">
      <c r="A27" s="41" t="n">
        <v>46261</v>
      </c>
      <c r="B27" s="42" t="inlineStr">
        <is>
          <t>Варга Тео</t>
        </is>
      </c>
      <c r="C27" s="42" t="inlineStr">
        <is>
          <t>Мобильное приложение для цеха</t>
        </is>
      </c>
      <c r="D27" s="42" t="inlineStr">
        <is>
          <t>Офлайн-синхронизация</t>
        </is>
      </c>
      <c r="E27" s="43" t="n">
        <v>4.09</v>
      </c>
      <c r="F27" s="42" t="inlineStr">
        <is>
          <t>Да</t>
        </is>
      </c>
      <c r="G27" s="44">
        <f>IF(billInc&gt;0,ROUNDUP(tblLog[[#This Row],[Часы]]/billInc,0)*billInc,tblLog[[#This Row],[Часы]])</f>
        <v>4.25</v>
      </c>
      <c r="H27" s="45">
        <f>IFERROR(INDEX(tblRates[СтавкаКлиенту],MATCH(tblLog[[#This Row],[Сотрудник]],tblRates[Сотрудник],0)),0)</f>
        <v>2600</v>
      </c>
      <c r="I27" s="45">
        <f>IF(tblLog[[#This Row],[Оплачиваемо]]=yesFlag,ROUND(tblLog[[#This Row],[ЧасыКОплате]]*tblLog[[#This Row],[Ставка]],2),0)</f>
        <v>11050</v>
      </c>
      <c r="J27" s="45">
        <f>IFERROR(INDEX(tblRates[СтавкаСотруднику],MATCH(tblLog[[#This Row],[Сотрудник]],tblRates[Сотрудник],0)),0)</f>
        <v>1700</v>
      </c>
      <c r="K27" s="45">
        <f>ROUND(tblLog[[#This Row],[Часы]]*tblLog[[#This Row],[СтавкаЗП]],2)</f>
        <v>6953</v>
      </c>
    </row>
    <row r="28">
      <c r="A28" s="41" t="n">
        <v>46261</v>
      </c>
      <c r="B28" s="42" t="inlineStr">
        <is>
          <t>Варга Тео</t>
        </is>
      </c>
      <c r="C28" s="42" t="inlineStr">
        <is>
          <t>Поддержка</t>
        </is>
      </c>
      <c r="D28" s="42" t="inlineStr">
        <is>
          <t>Созвон с клиентом</t>
        </is>
      </c>
      <c r="E28" s="43" t="n">
        <v>2.32</v>
      </c>
      <c r="F28" s="42" t="inlineStr">
        <is>
          <t>Да</t>
        </is>
      </c>
      <c r="G28" s="44">
        <f>IF(billInc&gt;0,ROUNDUP(tblLog[[#This Row],[Часы]]/billInc,0)*billInc,tblLog[[#This Row],[Часы]])</f>
        <v>2.5</v>
      </c>
      <c r="H28" s="45">
        <f>IFERROR(INDEX(tblRates[СтавкаКлиенту],MATCH(tblLog[[#This Row],[Сотрудник]],tblRates[Сотрудник],0)),0)</f>
        <v>2600</v>
      </c>
      <c r="I28" s="45">
        <f>IF(tblLog[[#This Row],[Оплачиваемо]]=yesFlag,ROUND(tblLog[[#This Row],[ЧасыКОплате]]*tblLog[[#This Row],[Ставка]],2),0)</f>
        <v>6500</v>
      </c>
      <c r="J28" s="45">
        <f>IFERROR(INDEX(tblRates[СтавкаСотруднику],MATCH(tblLog[[#This Row],[Сотрудник]],tblRates[Сотрудник],0)),0)</f>
        <v>1700</v>
      </c>
      <c r="K28" s="45">
        <f>ROUND(tblLog[[#This Row],[Часы]]*tblLog[[#This Row],[СтавкаЗП]],2)</f>
        <v>3944</v>
      </c>
    </row>
    <row r="29">
      <c r="A29" s="41" t="n">
        <v>46261</v>
      </c>
      <c r="B29" s="42" t="inlineStr">
        <is>
          <t>Варга Тео</t>
        </is>
      </c>
      <c r="C29" s="42" t="inlineStr">
        <is>
          <t>Клиентский портал</t>
        </is>
      </c>
      <c r="D29" s="42" t="inlineStr">
        <is>
          <t>Авторизация и роли</t>
        </is>
      </c>
      <c r="E29" s="43" t="n">
        <v>0.43</v>
      </c>
      <c r="F29" s="42" t="inlineStr">
        <is>
          <t>Да</t>
        </is>
      </c>
      <c r="G29" s="44">
        <f>IF(billInc&gt;0,ROUNDUP(tblLog[[#This Row],[Часы]]/billInc,0)*billInc,tblLog[[#This Row],[Часы]])</f>
        <v>0.5</v>
      </c>
      <c r="H29" s="45">
        <f>IFERROR(INDEX(tblRates[СтавкаКлиенту],MATCH(tblLog[[#This Row],[Сотрудник]],tblRates[Сотрудник],0)),0)</f>
        <v>2600</v>
      </c>
      <c r="I29" s="45">
        <f>IF(tblLog[[#This Row],[Оплачиваемо]]=yesFlag,ROUND(tblLog[[#This Row],[ЧасыКОплате]]*tblLog[[#This Row],[Ставка]],2),0)</f>
        <v>1300</v>
      </c>
      <c r="J29" s="45">
        <f>IFERROR(INDEX(tblRates[СтавкаСотруднику],MATCH(tblLog[[#This Row],[Сотрудник]],tblRates[Сотрудник],0)),0)</f>
        <v>1700</v>
      </c>
      <c r="K29" s="45">
        <f>ROUND(tblLog[[#This Row],[Часы]]*tblLog[[#This Row],[СтавкаЗП]],2)</f>
        <v>731</v>
      </c>
    </row>
    <row r="30">
      <c r="A30" s="41" t="n">
        <v>46261</v>
      </c>
      <c r="B30" s="42" t="inlineStr">
        <is>
          <t>Варга Тео</t>
        </is>
      </c>
      <c r="C30" s="42" t="inlineStr">
        <is>
          <t>Клиентский портал</t>
        </is>
      </c>
      <c r="D30" s="42" t="inlineStr">
        <is>
          <t>Страница статуса заказа</t>
        </is>
      </c>
      <c r="E30" s="43" t="n">
        <v>0.66</v>
      </c>
      <c r="F30" s="42" t="inlineStr">
        <is>
          <t>Да</t>
        </is>
      </c>
      <c r="G30" s="44">
        <f>IF(billInc&gt;0,ROUNDUP(tblLog[[#This Row],[Часы]]/billInc,0)*billInc,tblLog[[#This Row],[Часы]])</f>
        <v>0.75</v>
      </c>
      <c r="H30" s="45">
        <f>IFERROR(INDEX(tblRates[СтавкаКлиенту],MATCH(tblLog[[#This Row],[Сотрудник]],tblRates[Сотрудник],0)),0)</f>
        <v>2600</v>
      </c>
      <c r="I30" s="45">
        <f>IF(tblLog[[#This Row],[Оплачиваемо]]=yesFlag,ROUND(tblLog[[#This Row],[ЧасыКОплате]]*tblLog[[#This Row],[Ставка]],2),0)</f>
        <v>1950</v>
      </c>
      <c r="J30" s="45">
        <f>IFERROR(INDEX(tblRates[СтавкаСотруднику],MATCH(tblLog[[#This Row],[Сотрудник]],tblRates[Сотрудник],0)),0)</f>
        <v>1700</v>
      </c>
      <c r="K30" s="45">
        <f>ROUND(tblLog[[#This Row],[Часы]]*tblLog[[#This Row],[СтавкаЗП]],2)</f>
        <v>1122</v>
      </c>
    </row>
    <row r="31">
      <c r="A31" s="41" t="n">
        <v>46261</v>
      </c>
      <c r="B31" s="42" t="inlineStr">
        <is>
          <t>Окафор Инес</t>
        </is>
      </c>
      <c r="C31" s="42" t="inlineStr">
        <is>
          <t>Мобильное приложение для цеха</t>
        </is>
      </c>
      <c r="D31" s="42" t="inlineStr">
        <is>
          <t>Офлайн-синхронизация</t>
        </is>
      </c>
      <c r="E31" s="43" t="n">
        <v>1.16</v>
      </c>
      <c r="F31" s="42" t="inlineStr">
        <is>
          <t>Да</t>
        </is>
      </c>
      <c r="G31" s="44">
        <f>IF(billInc&gt;0,ROUNDUP(tblLog[[#This Row],[Часы]]/billInc,0)*billInc,tblLog[[#This Row],[Часы]])</f>
        <v>1.25</v>
      </c>
      <c r="H31" s="45">
        <f>IFERROR(INDEX(tblRates[СтавкаКлиенту],MATCH(tblLog[[#This Row],[Сотрудник]],tblRates[Сотрудник],0)),0)</f>
        <v>1900</v>
      </c>
      <c r="I31" s="45">
        <f>IF(tblLog[[#This Row],[Оплачиваемо]]=yesFlag,ROUND(tblLog[[#This Row],[ЧасыКОплате]]*tblLog[[#This Row],[Ставка]],2),0)</f>
        <v>2375</v>
      </c>
      <c r="J31" s="45">
        <f>IFERROR(INDEX(tblRates[СтавкаСотруднику],MATCH(tblLog[[#This Row],[Сотрудник]],tblRates[Сотрудник],0)),0)</f>
        <v>1200</v>
      </c>
      <c r="K31" s="45">
        <f>ROUND(tblLog[[#This Row],[Часы]]*tblLog[[#This Row],[СтавкаЗП]],2)</f>
        <v>1392</v>
      </c>
    </row>
    <row r="32">
      <c r="A32" s="41" t="n">
        <v>46261</v>
      </c>
      <c r="B32" s="42" t="inlineStr">
        <is>
          <t>Окафор Инес</t>
        </is>
      </c>
      <c r="C32" s="42" t="inlineStr">
        <is>
          <t>Мобильное приложение для цеха</t>
        </is>
      </c>
      <c r="D32" s="42" t="inlineStr">
        <is>
          <t>Push-уведомления</t>
        </is>
      </c>
      <c r="E32" s="43" t="n">
        <v>4.04</v>
      </c>
      <c r="F32" s="42" t="inlineStr">
        <is>
          <t>Да</t>
        </is>
      </c>
      <c r="G32" s="44">
        <f>IF(billInc&gt;0,ROUNDUP(tblLog[[#This Row],[Часы]]/billInc,0)*billInc,tblLog[[#This Row],[Часы]])</f>
        <v>4.25</v>
      </c>
      <c r="H32" s="45">
        <f>IFERROR(INDEX(tblRates[СтавкаКлиенту],MATCH(tblLog[[#This Row],[Сотрудник]],tblRates[Сотрудник],0)),0)</f>
        <v>1900</v>
      </c>
      <c r="I32" s="45">
        <f>IF(tblLog[[#This Row],[Оплачиваемо]]=yesFlag,ROUND(tblLog[[#This Row],[ЧасыКОплате]]*tblLog[[#This Row],[Ставка]],2),0)</f>
        <v>8075</v>
      </c>
      <c r="J32" s="45">
        <f>IFERROR(INDEX(tblRates[СтавкаСотруднику],MATCH(tblLog[[#This Row],[Сотрудник]],tblRates[Сотрудник],0)),0)</f>
        <v>1200</v>
      </c>
      <c r="K32" s="45">
        <f>ROUND(tblLog[[#This Row],[Часы]]*tblLog[[#This Row],[СтавкаЗП]],2)</f>
        <v>4848</v>
      </c>
    </row>
    <row r="33">
      <c r="A33" s="41" t="n">
        <v>46261</v>
      </c>
      <c r="B33" s="42" t="inlineStr">
        <is>
          <t>Окафор Инес</t>
        </is>
      </c>
      <c r="C33" s="42" t="inlineStr">
        <is>
          <t>Клиентский портал</t>
        </is>
      </c>
      <c r="D33" s="42" t="inlineStr">
        <is>
          <t>Авторизация и роли</t>
        </is>
      </c>
      <c r="E33" s="43" t="n">
        <v>2.3</v>
      </c>
      <c r="F33" s="42" t="inlineStr">
        <is>
          <t>Да</t>
        </is>
      </c>
      <c r="G33" s="44">
        <f>IF(billInc&gt;0,ROUNDUP(tblLog[[#This Row],[Часы]]/billInc,0)*billInc,tblLog[[#This Row],[Часы]])</f>
        <v>2.5</v>
      </c>
      <c r="H33" s="45">
        <f>IFERROR(INDEX(tblRates[СтавкаКлиенту],MATCH(tblLog[[#This Row],[Сотрудник]],tblRates[Сотрудник],0)),0)</f>
        <v>1900</v>
      </c>
      <c r="I33" s="45">
        <f>IF(tblLog[[#This Row],[Оплачиваемо]]=yesFlag,ROUND(tblLog[[#This Row],[ЧасыКОплате]]*tblLog[[#This Row],[Ставка]],2),0)</f>
        <v>4750</v>
      </c>
      <c r="J33" s="45">
        <f>IFERROR(INDEX(tblRates[СтавкаСотруднику],MATCH(tblLog[[#This Row],[Сотрудник]],tblRates[Сотрудник],0)),0)</f>
        <v>1200</v>
      </c>
      <c r="K33" s="45">
        <f>ROUND(tblLog[[#This Row],[Часы]]*tblLog[[#This Row],[СтавкаЗП]],2)</f>
        <v>2760</v>
      </c>
    </row>
    <row r="34">
      <c r="A34" s="41" t="n">
        <v>46262</v>
      </c>
      <c r="B34" s="42" t="inlineStr">
        <is>
          <t>Бреннер Лука</t>
        </is>
      </c>
      <c r="C34" s="42" t="inlineStr">
        <is>
          <t>Мобильное приложение для цеха</t>
        </is>
      </c>
      <c r="D34" s="42" t="inlineStr">
        <is>
          <t>Сканирование штрихкодов</t>
        </is>
      </c>
      <c r="E34" s="43" t="n">
        <v>3.92</v>
      </c>
      <c r="F34" s="42" t="inlineStr">
        <is>
          <t>Да</t>
        </is>
      </c>
      <c r="G34" s="44">
        <f>IF(billInc&gt;0,ROUNDUP(tblLog[[#This Row],[Часы]]/billInc,0)*billInc,tblLog[[#This Row],[Часы]])</f>
        <v>4</v>
      </c>
      <c r="H34" s="45">
        <f>IFERROR(INDEX(tblRates[СтавкаКлиенту],MATCH(tblLog[[#This Row],[Сотрудник]],tblRates[Сотрудник],0)),0)</f>
        <v>2300</v>
      </c>
      <c r="I34" s="45">
        <f>IF(tblLog[[#This Row],[Оплачиваемо]]=yesFlag,ROUND(tblLog[[#This Row],[ЧасыКОплате]]*tblLog[[#This Row],[Ставка]],2),0)</f>
        <v>9200</v>
      </c>
      <c r="J34" s="45">
        <f>IFERROR(INDEX(tblRates[СтавкаСотруднику],MATCH(tblLog[[#This Row],[Сотрудник]],tblRates[Сотрудник],0)),0)</f>
        <v>1500</v>
      </c>
      <c r="K34" s="45">
        <f>ROUND(tblLog[[#This Row],[Часы]]*tblLog[[#This Row],[СтавкаЗП]],2)</f>
        <v>5880</v>
      </c>
    </row>
    <row r="35">
      <c r="A35" s="41" t="n">
        <v>46262</v>
      </c>
      <c r="B35" s="42" t="inlineStr">
        <is>
          <t>Бреннер Лука</t>
        </is>
      </c>
      <c r="C35" s="42" t="inlineStr">
        <is>
          <t>Клиентский портал</t>
        </is>
      </c>
      <c r="D35" s="42" t="inlineStr">
        <is>
          <t>Выгрузка отчётов</t>
        </is>
      </c>
      <c r="E35" s="43" t="n">
        <v>1.19</v>
      </c>
      <c r="F35" s="42" t="inlineStr">
        <is>
          <t>Да</t>
        </is>
      </c>
      <c r="G35" s="44">
        <f>IF(billInc&gt;0,ROUNDUP(tblLog[[#This Row],[Часы]]/billInc,0)*billInc,tblLog[[#This Row],[Часы]])</f>
        <v>1.25</v>
      </c>
      <c r="H35" s="45">
        <f>IFERROR(INDEX(tblRates[СтавкаКлиенту],MATCH(tblLog[[#This Row],[Сотрудник]],tblRates[Сотрудник],0)),0)</f>
        <v>2300</v>
      </c>
      <c r="I35" s="45">
        <f>IF(tblLog[[#This Row],[Оплачиваемо]]=yesFlag,ROUND(tblLog[[#This Row],[ЧасыКОплате]]*tblLog[[#This Row],[Ставка]],2),0)</f>
        <v>2875</v>
      </c>
      <c r="J35" s="45">
        <f>IFERROR(INDEX(tblRates[СтавкаСотруднику],MATCH(tblLog[[#This Row],[Сотрудник]],tblRates[Сотрудник],0)),0)</f>
        <v>1500</v>
      </c>
      <c r="K35" s="45">
        <f>ROUND(tblLog[[#This Row],[Часы]]*tblLog[[#This Row],[СтавкаЗП]],2)</f>
        <v>1785</v>
      </c>
    </row>
    <row r="36">
      <c r="A36" s="41" t="n">
        <v>46262</v>
      </c>
      <c r="B36" s="42" t="inlineStr">
        <is>
          <t>Бреннер Лука</t>
        </is>
      </c>
      <c r="C36" s="42" t="inlineStr">
        <is>
          <t>Клиентский портал</t>
        </is>
      </c>
      <c r="D36" s="42" t="inlineStr">
        <is>
          <t>Авторизация и роли</t>
        </is>
      </c>
      <c r="E36" s="43" t="n">
        <v>1.89</v>
      </c>
      <c r="F36" s="42" t="inlineStr">
        <is>
          <t>Да</t>
        </is>
      </c>
      <c r="G36" s="44">
        <f>IF(billInc&gt;0,ROUNDUP(tblLog[[#This Row],[Часы]]/billInc,0)*billInc,tblLog[[#This Row],[Часы]])</f>
        <v>2</v>
      </c>
      <c r="H36" s="45">
        <f>IFERROR(INDEX(tblRates[СтавкаКлиенту],MATCH(tblLog[[#This Row],[Сотрудник]],tblRates[Сотрудник],0)),0)</f>
        <v>2300</v>
      </c>
      <c r="I36" s="45">
        <f>IF(tblLog[[#This Row],[Оплачиваемо]]=yesFlag,ROUND(tblLog[[#This Row],[ЧасыКОплате]]*tblLog[[#This Row],[Ставка]],2),0)</f>
        <v>4600</v>
      </c>
      <c r="J36" s="45">
        <f>IFERROR(INDEX(tblRates[СтавкаСотруднику],MATCH(tblLog[[#This Row],[Сотрудник]],tblRates[Сотрудник],0)),0)</f>
        <v>1500</v>
      </c>
      <c r="K36" s="45">
        <f>ROUND(tblLog[[#This Row],[Часы]]*tblLog[[#This Row],[СтавкаЗП]],2)</f>
        <v>2835</v>
      </c>
    </row>
    <row r="37">
      <c r="A37" s="41" t="n">
        <v>46262</v>
      </c>
      <c r="B37" s="42" t="inlineStr">
        <is>
          <t>Варга Тео</t>
        </is>
      </c>
      <c r="C37" s="42" t="inlineStr">
        <is>
          <t>Клиентский портал</t>
        </is>
      </c>
      <c r="D37" s="42" t="inlineStr">
        <is>
          <t>Авторизация и роли</t>
        </is>
      </c>
      <c r="E37" s="43" t="n">
        <v>2.94</v>
      </c>
      <c r="F37" s="42" t="inlineStr">
        <is>
          <t>Да</t>
        </is>
      </c>
      <c r="G37" s="44">
        <f>IF(billInc&gt;0,ROUNDUP(tblLog[[#This Row],[Часы]]/billInc,0)*billInc,tblLog[[#This Row],[Часы]])</f>
        <v>3</v>
      </c>
      <c r="H37" s="45">
        <f>IFERROR(INDEX(tblRates[СтавкаКлиенту],MATCH(tblLog[[#This Row],[Сотрудник]],tblRates[Сотрудник],0)),0)</f>
        <v>2600</v>
      </c>
      <c r="I37" s="45">
        <f>IF(tblLog[[#This Row],[Оплачиваемо]]=yesFlag,ROUND(tblLog[[#This Row],[ЧасыКОплате]]*tblLog[[#This Row],[Ставка]],2),0)</f>
        <v>7800</v>
      </c>
      <c r="J37" s="45">
        <f>IFERROR(INDEX(tblRates[СтавкаСотруднику],MATCH(tblLog[[#This Row],[Сотрудник]],tblRates[Сотрудник],0)),0)</f>
        <v>1700</v>
      </c>
      <c r="K37" s="45">
        <f>ROUND(tblLog[[#This Row],[Часы]]*tblLog[[#This Row],[СтавкаЗП]],2)</f>
        <v>4998</v>
      </c>
    </row>
    <row r="38">
      <c r="A38" s="41" t="n">
        <v>46262</v>
      </c>
      <c r="B38" s="42" t="inlineStr">
        <is>
          <t>Варга Тео</t>
        </is>
      </c>
      <c r="C38" s="42" t="inlineStr">
        <is>
          <t>Клиентский портал</t>
        </is>
      </c>
      <c r="D38" s="42" t="inlineStr">
        <is>
          <t>Авторизация и роли</t>
        </is>
      </c>
      <c r="E38" s="43" t="n">
        <v>0.55</v>
      </c>
      <c r="F38" s="42" t="inlineStr">
        <is>
          <t>Да</t>
        </is>
      </c>
      <c r="G38" s="44">
        <f>IF(billInc&gt;0,ROUNDUP(tblLog[[#This Row],[Часы]]/billInc,0)*billInc,tblLog[[#This Row],[Часы]])</f>
        <v>0.75</v>
      </c>
      <c r="H38" s="45">
        <f>IFERROR(INDEX(tblRates[СтавкаКлиенту],MATCH(tblLog[[#This Row],[Сотрудник]],tblRates[Сотрудник],0)),0)</f>
        <v>2600</v>
      </c>
      <c r="I38" s="45">
        <f>IF(tblLog[[#This Row],[Оплачиваемо]]=yesFlag,ROUND(tblLog[[#This Row],[ЧасыКОплате]]*tblLog[[#This Row],[Ставка]],2),0)</f>
        <v>1950</v>
      </c>
      <c r="J38" s="45">
        <f>IFERROR(INDEX(tblRates[СтавкаСотруднику],MATCH(tblLog[[#This Row],[Сотрудник]],tblRates[Сотрудник],0)),0)</f>
        <v>1700</v>
      </c>
      <c r="K38" s="45">
        <f>ROUND(tblLog[[#This Row],[Часы]]*tblLog[[#This Row],[СтавкаЗП]],2)</f>
        <v>935</v>
      </c>
    </row>
    <row r="39">
      <c r="A39" s="41" t="n">
        <v>46262</v>
      </c>
      <c r="B39" s="42" t="inlineStr">
        <is>
          <t>Варга Тео</t>
        </is>
      </c>
      <c r="C39" s="42" t="inlineStr">
        <is>
          <t>Клиентский портал</t>
        </is>
      </c>
      <c r="D39" s="42" t="inlineStr">
        <is>
          <t>Авторизация и роли</t>
        </is>
      </c>
      <c r="E39" s="43" t="n">
        <v>1.24</v>
      </c>
      <c r="F39" s="42" t="inlineStr">
        <is>
          <t>Да</t>
        </is>
      </c>
      <c r="G39" s="44">
        <f>IF(billInc&gt;0,ROUNDUP(tblLog[[#This Row],[Часы]]/billInc,0)*billInc,tblLog[[#This Row],[Часы]])</f>
        <v>1.25</v>
      </c>
      <c r="H39" s="45">
        <f>IFERROR(INDEX(tblRates[СтавкаКлиенту],MATCH(tblLog[[#This Row],[Сотрудник]],tblRates[Сотрудник],0)),0)</f>
        <v>2600</v>
      </c>
      <c r="I39" s="45">
        <f>IF(tblLog[[#This Row],[Оплачиваемо]]=yesFlag,ROUND(tblLog[[#This Row],[ЧасыКОплате]]*tblLog[[#This Row],[Ставка]],2),0)</f>
        <v>3250</v>
      </c>
      <c r="J39" s="45">
        <f>IFERROR(INDEX(tblRates[СтавкаСотруднику],MATCH(tblLog[[#This Row],[Сотрудник]],tblRates[Сотрудник],0)),0)</f>
        <v>1700</v>
      </c>
      <c r="K39" s="45">
        <f>ROUND(tblLog[[#This Row],[Часы]]*tblLog[[#This Row],[СтавкаЗП]],2)</f>
        <v>2108</v>
      </c>
    </row>
    <row r="40">
      <c r="A40" s="41" t="n">
        <v>46262</v>
      </c>
      <c r="B40" s="42" t="inlineStr">
        <is>
          <t>Варга Тео</t>
        </is>
      </c>
      <c r="C40" s="42" t="inlineStr">
        <is>
          <t>Клиентский портал</t>
        </is>
      </c>
      <c r="D40" s="42" t="inlineStr">
        <is>
          <t>Авторизация и роли</t>
        </is>
      </c>
      <c r="E40" s="43" t="n">
        <v>1.52</v>
      </c>
      <c r="F40" s="42" t="inlineStr">
        <is>
          <t>Да</t>
        </is>
      </c>
      <c r="G40" s="44">
        <f>IF(billInc&gt;0,ROUNDUP(tblLog[[#This Row],[Часы]]/billInc,0)*billInc,tblLog[[#This Row],[Часы]])</f>
        <v>1.75</v>
      </c>
      <c r="H40" s="45">
        <f>IFERROR(INDEX(tblRates[СтавкаКлиенту],MATCH(tblLog[[#This Row],[Сотрудник]],tblRates[Сотрудник],0)),0)</f>
        <v>2600</v>
      </c>
      <c r="I40" s="45">
        <f>IF(tblLog[[#This Row],[Оплачиваемо]]=yesFlag,ROUND(tblLog[[#This Row],[ЧасыКОплате]]*tblLog[[#This Row],[Ставка]],2),0)</f>
        <v>4550</v>
      </c>
      <c r="J40" s="45">
        <f>IFERROR(INDEX(tblRates[СтавкаСотруднику],MATCH(tblLog[[#This Row],[Сотрудник]],tblRates[Сотрудник],0)),0)</f>
        <v>1700</v>
      </c>
      <c r="K40" s="45">
        <f>ROUND(tblLog[[#This Row],[Часы]]*tblLog[[#This Row],[СтавкаЗП]],2)</f>
        <v>2584</v>
      </c>
    </row>
    <row r="41">
      <c r="A41" s="41" t="n">
        <v>46262</v>
      </c>
      <c r="B41" s="42" t="inlineStr">
        <is>
          <t>Варга Тео</t>
        </is>
      </c>
      <c r="C41" s="42" t="inlineStr">
        <is>
          <t>Клиентский портал</t>
        </is>
      </c>
      <c r="D41" s="42" t="inlineStr">
        <is>
          <t>Код-ревью</t>
        </is>
      </c>
      <c r="E41" s="43" t="n">
        <v>0.64</v>
      </c>
      <c r="F41" s="42" t="inlineStr">
        <is>
          <t>Да</t>
        </is>
      </c>
      <c r="G41" s="44">
        <f>IF(billInc&gt;0,ROUNDUP(tblLog[[#This Row],[Часы]]/billInc,0)*billInc,tblLog[[#This Row],[Часы]])</f>
        <v>0.75</v>
      </c>
      <c r="H41" s="45">
        <f>IFERROR(INDEX(tblRates[СтавкаКлиенту],MATCH(tblLog[[#This Row],[Сотрудник]],tblRates[Сотрудник],0)),0)</f>
        <v>2600</v>
      </c>
      <c r="I41" s="45">
        <f>IF(tblLog[[#This Row],[Оплачиваемо]]=yesFlag,ROUND(tblLog[[#This Row],[ЧасыКОплате]]*tblLog[[#This Row],[Ставка]],2),0)</f>
        <v>1950</v>
      </c>
      <c r="J41" s="45">
        <f>IFERROR(INDEX(tblRates[СтавкаСотруднику],MATCH(tblLog[[#This Row],[Сотрудник]],tblRates[Сотрудник],0)),0)</f>
        <v>1700</v>
      </c>
      <c r="K41" s="45">
        <f>ROUND(tblLog[[#This Row],[Часы]]*tblLog[[#This Row],[СтавкаЗП]],2)</f>
        <v>1088</v>
      </c>
    </row>
    <row r="42">
      <c r="A42" s="41" t="n">
        <v>46262</v>
      </c>
      <c r="B42" s="42" t="inlineStr">
        <is>
          <t>Варга Тео</t>
        </is>
      </c>
      <c r="C42" s="42" t="inlineStr">
        <is>
          <t>Клиентский портал</t>
        </is>
      </c>
      <c r="D42" s="42" t="inlineStr">
        <is>
          <t>Код-ревью</t>
        </is>
      </c>
      <c r="E42" s="43" t="n">
        <v>1.11</v>
      </c>
      <c r="F42" s="42" t="inlineStr">
        <is>
          <t>Да</t>
        </is>
      </c>
      <c r="G42" s="44">
        <f>IF(billInc&gt;0,ROUNDUP(tblLog[[#This Row],[Часы]]/billInc,0)*billInc,tblLog[[#This Row],[Часы]])</f>
        <v>1.25</v>
      </c>
      <c r="H42" s="45">
        <f>IFERROR(INDEX(tblRates[СтавкаКлиенту],MATCH(tblLog[[#This Row],[Сотрудник]],tblRates[Сотрудник],0)),0)</f>
        <v>2600</v>
      </c>
      <c r="I42" s="45">
        <f>IF(tblLog[[#This Row],[Оплачиваемо]]=yesFlag,ROUND(tblLog[[#This Row],[ЧасыКОплате]]*tblLog[[#This Row],[Ставка]],2),0)</f>
        <v>3250</v>
      </c>
      <c r="J42" s="45">
        <f>IFERROR(INDEX(tblRates[СтавкаСотруднику],MATCH(tblLog[[#This Row],[Сотрудник]],tblRates[Сотрудник],0)),0)</f>
        <v>1700</v>
      </c>
      <c r="K42" s="45">
        <f>ROUND(tblLog[[#This Row],[Часы]]*tblLog[[#This Row],[СтавкаЗП]],2)</f>
        <v>1887</v>
      </c>
    </row>
    <row r="43">
      <c r="A43" s="41" t="n">
        <v>46262</v>
      </c>
      <c r="B43" s="42" t="inlineStr">
        <is>
          <t>Окафор Инес</t>
        </is>
      </c>
      <c r="C43" s="42" t="inlineStr">
        <is>
          <t>Клиентский портал</t>
        </is>
      </c>
      <c r="D43" s="42" t="inlineStr">
        <is>
          <t>Страница статуса заказа</t>
        </is>
      </c>
      <c r="E43" s="43" t="n">
        <v>3.31</v>
      </c>
      <c r="F43" s="42" t="inlineStr">
        <is>
          <t>Нет</t>
        </is>
      </c>
      <c r="G43" s="44">
        <f>IF(billInc&gt;0,ROUNDUP(tblLog[[#This Row],[Часы]]/billInc,0)*billInc,tblLog[[#This Row],[Часы]])</f>
        <v>3.5</v>
      </c>
      <c r="H43" s="45">
        <f>IFERROR(INDEX(tblRates[СтавкаКлиенту],MATCH(tblLog[[#This Row],[Сотрудник]],tblRates[Сотрудник],0)),0)</f>
        <v>1900</v>
      </c>
      <c r="I43" s="45">
        <f>IF(tblLog[[#This Row],[Оплачиваемо]]=yesFlag,ROUND(tblLog[[#This Row],[ЧасыКОплате]]*tblLog[[#This Row],[Ставка]],2),0)</f>
        <v>0</v>
      </c>
      <c r="J43" s="45">
        <f>IFERROR(INDEX(tblRates[СтавкаСотруднику],MATCH(tblLog[[#This Row],[Сотрудник]],tblRates[Сотрудник],0)),0)</f>
        <v>1200</v>
      </c>
      <c r="K43" s="45">
        <f>ROUND(tblLog[[#This Row],[Часы]]*tblLog[[#This Row],[СтавкаЗП]],2)</f>
        <v>3972</v>
      </c>
    </row>
    <row r="44">
      <c r="A44" s="41" t="n">
        <v>46262</v>
      </c>
      <c r="B44" s="42" t="inlineStr">
        <is>
          <t>Окафор Инес</t>
        </is>
      </c>
      <c r="C44" s="42" t="inlineStr">
        <is>
          <t>Клиентский портал</t>
        </is>
      </c>
      <c r="D44" s="42" t="inlineStr">
        <is>
          <t>Авторизация и роли</t>
        </is>
      </c>
      <c r="E44" s="43" t="n">
        <v>3.69</v>
      </c>
      <c r="F44" s="42" t="inlineStr">
        <is>
          <t>Да</t>
        </is>
      </c>
      <c r="G44" s="44">
        <f>IF(billInc&gt;0,ROUNDUP(tblLog[[#This Row],[Часы]]/billInc,0)*billInc,tblLog[[#This Row],[Часы]])</f>
        <v>3.75</v>
      </c>
      <c r="H44" s="45">
        <f>IFERROR(INDEX(tblRates[СтавкаКлиенту],MATCH(tblLog[[#This Row],[Сотрудник]],tblRates[Сотрудник],0)),0)</f>
        <v>1900</v>
      </c>
      <c r="I44" s="45">
        <f>IF(tblLog[[#This Row],[Оплачиваемо]]=yesFlag,ROUND(tblLog[[#This Row],[ЧасыКОплате]]*tblLog[[#This Row],[Ставка]],2),0)</f>
        <v>7125</v>
      </c>
      <c r="J44" s="45">
        <f>IFERROR(INDEX(tblRates[СтавкаСотруднику],MATCH(tblLog[[#This Row],[Сотрудник]],tblRates[Сотрудник],0)),0)</f>
        <v>1200</v>
      </c>
      <c r="K44" s="45">
        <f>ROUND(tblLog[[#This Row],[Часы]]*tblLog[[#This Row],[СтавкаЗП]],2)</f>
        <v>4428</v>
      </c>
    </row>
    <row r="45">
      <c r="A45" s="41" t="n">
        <v>46262</v>
      </c>
      <c r="B45" s="42" t="inlineStr">
        <is>
          <t>Сольберг Мира</t>
        </is>
      </c>
      <c r="C45" s="42" t="inlineStr">
        <is>
          <t>Мобильное приложение для цеха</t>
        </is>
      </c>
      <c r="D45" s="42" t="inlineStr">
        <is>
          <t>Офлайн-синхронизация</t>
        </is>
      </c>
      <c r="E45" s="43" t="n">
        <v>1.52</v>
      </c>
      <c r="F45" s="42" t="inlineStr">
        <is>
          <t>Да</t>
        </is>
      </c>
      <c r="G45" s="44">
        <f>IF(billInc&gt;0,ROUNDUP(tblLog[[#This Row],[Часы]]/billInc,0)*billInc,tblLog[[#This Row],[Часы]])</f>
        <v>1.75</v>
      </c>
      <c r="H45" s="45">
        <f>IFERROR(INDEX(tblRates[СтавкаКлиенту],MATCH(tblLog[[#This Row],[Сотрудник]],tblRates[Сотрудник],0)),0)</f>
        <v>3500</v>
      </c>
      <c r="I45" s="45">
        <f>IF(tblLog[[#This Row],[Оплачиваемо]]=yesFlag,ROUND(tblLog[[#This Row],[ЧасыКОплате]]*tblLog[[#This Row],[Ставка]],2),0)</f>
        <v>6125</v>
      </c>
      <c r="J45" s="45">
        <f>IFERROR(INDEX(tblRates[СтавкаСотруднику],MATCH(tblLog[[#This Row],[Сотрудник]],tblRates[Сотрудник],0)),0)</f>
        <v>2400</v>
      </c>
      <c r="K45" s="45">
        <f>ROUND(tblLog[[#This Row],[Часы]]*tblLog[[#This Row],[СтавкаЗП]],2)</f>
        <v>3648</v>
      </c>
    </row>
    <row r="46">
      <c r="A46" s="41" t="n">
        <v>46262</v>
      </c>
      <c r="B46" s="42" t="inlineStr">
        <is>
          <t>Сольберг Мира</t>
        </is>
      </c>
      <c r="C46" s="42" t="inlineStr">
        <is>
          <t>Клиентский портал</t>
        </is>
      </c>
      <c r="D46" s="42" t="inlineStr">
        <is>
          <t>Авторизация и роли</t>
        </is>
      </c>
      <c r="E46" s="43" t="n">
        <v>3.53</v>
      </c>
      <c r="F46" s="42" t="inlineStr">
        <is>
          <t>Да</t>
        </is>
      </c>
      <c r="G46" s="44">
        <f>IF(billInc&gt;0,ROUNDUP(tblLog[[#This Row],[Часы]]/billInc,0)*billInc,tblLog[[#This Row],[Часы]])</f>
        <v>3.75</v>
      </c>
      <c r="H46" s="45">
        <f>IFERROR(INDEX(tblRates[СтавкаКлиенту],MATCH(tblLog[[#This Row],[Сотрудник]],tblRates[Сотрудник],0)),0)</f>
        <v>3500</v>
      </c>
      <c r="I46" s="45">
        <f>IF(tblLog[[#This Row],[Оплачиваемо]]=yesFlag,ROUND(tblLog[[#This Row],[ЧасыКОплате]]*tblLog[[#This Row],[Ставка]],2),0)</f>
        <v>13125</v>
      </c>
      <c r="J46" s="45">
        <f>IFERROR(INDEX(tblRates[СтавкаСотруднику],MATCH(tblLog[[#This Row],[Сотрудник]],tblRates[Сотрудник],0)),0)</f>
        <v>2400</v>
      </c>
      <c r="K46" s="45">
        <f>ROUND(tblLog[[#This Row],[Часы]]*tblLog[[#This Row],[СтавкаЗП]],2)</f>
        <v>8472</v>
      </c>
    </row>
    <row r="47">
      <c r="A47" s="41" t="n">
        <v>46262</v>
      </c>
      <c r="B47" s="42" t="inlineStr">
        <is>
          <t>Сольберг Мира</t>
        </is>
      </c>
      <c r="C47" s="42" t="inlineStr">
        <is>
          <t>Мобильное приложение для цеха</t>
        </is>
      </c>
      <c r="D47" s="42" t="inlineStr">
        <is>
          <t>Офлайн-синхронизация</t>
        </is>
      </c>
      <c r="E47" s="43" t="n">
        <v>1.19</v>
      </c>
      <c r="F47" s="42" t="inlineStr">
        <is>
          <t>Нет</t>
        </is>
      </c>
      <c r="G47" s="44">
        <f>IF(billInc&gt;0,ROUNDUP(tblLog[[#This Row],[Часы]]/billInc,0)*billInc,tblLog[[#This Row],[Часы]])</f>
        <v>1.25</v>
      </c>
      <c r="H47" s="45">
        <f>IFERROR(INDEX(tblRates[СтавкаКлиенту],MATCH(tblLog[[#This Row],[Сотрудник]],tblRates[Сотрудник],0)),0)</f>
        <v>3500</v>
      </c>
      <c r="I47" s="45">
        <f>IF(tblLog[[#This Row],[Оплачиваемо]]=yesFlag,ROUND(tblLog[[#This Row],[ЧасыКОплате]]*tblLog[[#This Row],[Ставка]],2),0)</f>
        <v>0</v>
      </c>
      <c r="J47" s="45">
        <f>IFERROR(INDEX(tblRates[СтавкаСотруднику],MATCH(tblLog[[#This Row],[Сотрудник]],tblRates[Сотрудник],0)),0)</f>
        <v>2400</v>
      </c>
      <c r="K47" s="45">
        <f>ROUND(tblLog[[#This Row],[Часы]]*tblLog[[#This Row],[СтавкаЗП]],2)</f>
        <v>2856</v>
      </c>
    </row>
    <row r="48">
      <c r="A48" s="41" t="n">
        <v>46262</v>
      </c>
      <c r="B48" s="42" t="inlineStr">
        <is>
          <t>Сольберг Мира</t>
        </is>
      </c>
      <c r="C48" s="42" t="inlineStr">
        <is>
          <t>Мобильное приложение для цеха</t>
        </is>
      </c>
      <c r="D48" s="42" t="inlineStr">
        <is>
          <t>Офлайн-синхронизация</t>
        </is>
      </c>
      <c r="E48" s="43" t="n">
        <v>0.68</v>
      </c>
      <c r="F48" s="42" t="inlineStr">
        <is>
          <t>Да</t>
        </is>
      </c>
      <c r="G48" s="44">
        <f>IF(billInc&gt;0,ROUNDUP(tblLog[[#This Row],[Часы]]/billInc,0)*billInc,tblLog[[#This Row],[Часы]])</f>
        <v>0.75</v>
      </c>
      <c r="H48" s="45">
        <f>IFERROR(INDEX(tblRates[СтавкаКлиенту],MATCH(tblLog[[#This Row],[Сотрудник]],tblRates[Сотрудник],0)),0)</f>
        <v>3500</v>
      </c>
      <c r="I48" s="45">
        <f>IF(tblLog[[#This Row],[Оплачиваемо]]=yesFlag,ROUND(tblLog[[#This Row],[ЧасыКОплате]]*tblLog[[#This Row],[Ставка]],2),0)</f>
        <v>2625</v>
      </c>
      <c r="J48" s="45">
        <f>IFERROR(INDEX(tblRates[СтавкаСотруднику],MATCH(tblLog[[#This Row],[Сотрудник]],tblRates[Сотрудник],0)),0)</f>
        <v>2400</v>
      </c>
      <c r="K48" s="45">
        <f>ROUND(tblLog[[#This Row],[Часы]]*tblLog[[#This Row],[СтавкаЗП]],2)</f>
        <v>1632</v>
      </c>
    </row>
    <row r="49">
      <c r="A49" s="41" t="n">
        <v>46262</v>
      </c>
      <c r="B49" s="42" t="inlineStr">
        <is>
          <t>Сольберг Мира</t>
        </is>
      </c>
      <c r="C49" s="42" t="inlineStr">
        <is>
          <t>Мобильное приложение для цеха</t>
        </is>
      </c>
      <c r="D49" s="42" t="inlineStr">
        <is>
          <t>Сканирование штрихкодов</t>
        </is>
      </c>
      <c r="E49" s="43" t="n">
        <v>1.08</v>
      </c>
      <c r="F49" s="42" t="inlineStr">
        <is>
          <t>Да</t>
        </is>
      </c>
      <c r="G49" s="44">
        <f>IF(billInc&gt;0,ROUNDUP(tblLog[[#This Row],[Часы]]/billInc,0)*billInc,tblLog[[#This Row],[Часы]])</f>
        <v>1.25</v>
      </c>
      <c r="H49" s="45">
        <f>IFERROR(INDEX(tblRates[СтавкаКлиенту],MATCH(tblLog[[#This Row],[Сотрудник]],tblRates[Сотрудник],0)),0)</f>
        <v>3500</v>
      </c>
      <c r="I49" s="45">
        <f>IF(tblLog[[#This Row],[Оплачиваемо]]=yesFlag,ROUND(tblLog[[#This Row],[ЧасыКОплате]]*tblLog[[#This Row],[Ставка]],2),0)</f>
        <v>4375</v>
      </c>
      <c r="J49" s="45">
        <f>IFERROR(INDEX(tblRates[СтавкаСотруднику],MATCH(tblLog[[#This Row],[Сотрудник]],tblRates[Сотрудник],0)),0)</f>
        <v>2400</v>
      </c>
      <c r="K49" s="45">
        <f>ROUND(tblLog[[#This Row],[Часы]]*tblLog[[#This Row],[СтавкаЗП]],2)</f>
        <v>2592</v>
      </c>
    </row>
    <row r="50">
      <c r="A50" s="41" t="n">
        <v>46265</v>
      </c>
      <c r="B50" s="42" t="inlineStr">
        <is>
          <t>Бреннер Лука</t>
        </is>
      </c>
      <c r="C50" s="42" t="inlineStr">
        <is>
          <t>Клиентский портал</t>
        </is>
      </c>
      <c r="D50" s="42" t="inlineStr">
        <is>
          <t>Страница статуса заказа</t>
        </is>
      </c>
      <c r="E50" s="43" t="n">
        <v>1.14</v>
      </c>
      <c r="F50" s="42" t="inlineStr">
        <is>
          <t>Да</t>
        </is>
      </c>
      <c r="G50" s="44">
        <f>IF(billInc&gt;0,ROUNDUP(tblLog[[#This Row],[Часы]]/billInc,0)*billInc,tblLog[[#This Row],[Часы]])</f>
        <v>1.25</v>
      </c>
      <c r="H50" s="45">
        <f>IFERROR(INDEX(tblRates[СтавкаКлиенту],MATCH(tblLog[[#This Row],[Сотрудник]],tblRates[Сотрудник],0)),0)</f>
        <v>2300</v>
      </c>
      <c r="I50" s="45">
        <f>IF(tblLog[[#This Row],[Оплачиваемо]]=yesFlag,ROUND(tblLog[[#This Row],[ЧасыКОплате]]*tblLog[[#This Row],[Ставка]],2),0)</f>
        <v>2875</v>
      </c>
      <c r="J50" s="45">
        <f>IFERROR(INDEX(tblRates[СтавкаСотруднику],MATCH(tblLog[[#This Row],[Сотрудник]],tblRates[Сотрудник],0)),0)</f>
        <v>1500</v>
      </c>
      <c r="K50" s="45">
        <f>ROUND(tblLog[[#This Row],[Часы]]*tblLog[[#This Row],[СтавкаЗП]],2)</f>
        <v>1710</v>
      </c>
    </row>
    <row r="51">
      <c r="A51" s="41" t="n">
        <v>46265</v>
      </c>
      <c r="B51" s="42" t="inlineStr">
        <is>
          <t>Бреннер Лука</t>
        </is>
      </c>
      <c r="C51" s="42" t="inlineStr">
        <is>
          <t>Мобильное приложение для цеха</t>
        </is>
      </c>
      <c r="D51" s="42" t="inlineStr">
        <is>
          <t>Сканирование штрихкодов</t>
        </is>
      </c>
      <c r="E51" s="43" t="n">
        <v>0.76</v>
      </c>
      <c r="F51" s="42" t="inlineStr">
        <is>
          <t>Да</t>
        </is>
      </c>
      <c r="G51" s="44">
        <f>IF(billInc&gt;0,ROUNDUP(tblLog[[#This Row],[Часы]]/billInc,0)*billInc,tblLog[[#This Row],[Часы]])</f>
        <v>1</v>
      </c>
      <c r="H51" s="45">
        <f>IFERROR(INDEX(tblRates[СтавкаКлиенту],MATCH(tblLog[[#This Row],[Сотрудник]],tblRates[Сотрудник],0)),0)</f>
        <v>2300</v>
      </c>
      <c r="I51" s="45">
        <f>IF(tblLog[[#This Row],[Оплачиваемо]]=yesFlag,ROUND(tblLog[[#This Row],[ЧасыКОплате]]*tblLog[[#This Row],[Ставка]],2),0)</f>
        <v>2300</v>
      </c>
      <c r="J51" s="45">
        <f>IFERROR(INDEX(tblRates[СтавкаСотруднику],MATCH(tblLog[[#This Row],[Сотрудник]],tblRates[Сотрудник],0)),0)</f>
        <v>1500</v>
      </c>
      <c r="K51" s="45">
        <f>ROUND(tblLog[[#This Row],[Часы]]*tblLog[[#This Row],[СтавкаЗП]],2)</f>
        <v>1140</v>
      </c>
    </row>
    <row r="52">
      <c r="A52" s="41" t="n">
        <v>46265</v>
      </c>
      <c r="B52" s="42" t="inlineStr">
        <is>
          <t>Бреннер Лука</t>
        </is>
      </c>
      <c r="C52" s="42" t="inlineStr">
        <is>
          <t>Клиентский портал</t>
        </is>
      </c>
      <c r="D52" s="42" t="inlineStr">
        <is>
          <t>Код-ревью</t>
        </is>
      </c>
      <c r="E52" s="43" t="n">
        <v>3.17</v>
      </c>
      <c r="F52" s="42" t="inlineStr">
        <is>
          <t>Да</t>
        </is>
      </c>
      <c r="G52" s="44">
        <f>IF(billInc&gt;0,ROUNDUP(tblLog[[#This Row],[Часы]]/billInc,0)*billInc,tblLog[[#This Row],[Часы]])</f>
        <v>3.25</v>
      </c>
      <c r="H52" s="45">
        <f>IFERROR(INDEX(tblRates[СтавкаКлиенту],MATCH(tblLog[[#This Row],[Сотрудник]],tblRates[Сотрудник],0)),0)</f>
        <v>2300</v>
      </c>
      <c r="I52" s="45">
        <f>IF(tblLog[[#This Row],[Оплачиваемо]]=yesFlag,ROUND(tblLog[[#This Row],[ЧасыКОплате]]*tblLog[[#This Row],[Ставка]],2),0)</f>
        <v>7475</v>
      </c>
      <c r="J52" s="45">
        <f>IFERROR(INDEX(tblRates[СтавкаСотруднику],MATCH(tblLog[[#This Row],[Сотрудник]],tblRates[Сотрудник],0)),0)</f>
        <v>1500</v>
      </c>
      <c r="K52" s="45">
        <f>ROUND(tblLog[[#This Row],[Часы]]*tblLog[[#This Row],[СтавкаЗП]],2)</f>
        <v>4755</v>
      </c>
    </row>
    <row r="53">
      <c r="A53" s="41" t="n">
        <v>46265</v>
      </c>
      <c r="B53" s="42" t="inlineStr">
        <is>
          <t>Бреннер Лука</t>
        </is>
      </c>
      <c r="C53" s="42" t="inlineStr">
        <is>
          <t>Клиентский портал</t>
        </is>
      </c>
      <c r="D53" s="42" t="inlineStr">
        <is>
          <t>Авторизация и роли</t>
        </is>
      </c>
      <c r="E53" s="43" t="n">
        <v>2.93</v>
      </c>
      <c r="F53" s="42" t="inlineStr">
        <is>
          <t>Да</t>
        </is>
      </c>
      <c r="G53" s="44">
        <f>IF(billInc&gt;0,ROUNDUP(tblLog[[#This Row],[Часы]]/billInc,0)*billInc,tblLog[[#This Row],[Часы]])</f>
        <v>3</v>
      </c>
      <c r="H53" s="45">
        <f>IFERROR(INDEX(tblRates[СтавкаКлиенту],MATCH(tblLog[[#This Row],[Сотрудник]],tblRates[Сотрудник],0)),0)</f>
        <v>2300</v>
      </c>
      <c r="I53" s="45">
        <f>IF(tblLog[[#This Row],[Оплачиваемо]]=yesFlag,ROUND(tblLog[[#This Row],[ЧасыКОплате]]*tblLog[[#This Row],[Ставка]],2),0)</f>
        <v>6900</v>
      </c>
      <c r="J53" s="45">
        <f>IFERROR(INDEX(tblRates[СтавкаСотруднику],MATCH(tblLog[[#This Row],[Сотрудник]],tblRates[Сотрудник],0)),0)</f>
        <v>1500</v>
      </c>
      <c r="K53" s="45">
        <f>ROUND(tblLog[[#This Row],[Часы]]*tblLog[[#This Row],[СтавкаЗП]],2)</f>
        <v>4395</v>
      </c>
    </row>
    <row r="54">
      <c r="A54" s="41" t="n">
        <v>46265</v>
      </c>
      <c r="B54" s="42" t="inlineStr">
        <is>
          <t>Варга Тео</t>
        </is>
      </c>
      <c r="C54" s="42" t="inlineStr">
        <is>
          <t>Клиентский портал</t>
        </is>
      </c>
      <c r="D54" s="42" t="inlineStr">
        <is>
          <t>Страница статуса заказа</t>
        </is>
      </c>
      <c r="E54" s="43" t="n">
        <v>2.14</v>
      </c>
      <c r="F54" s="42" t="inlineStr">
        <is>
          <t>Да</t>
        </is>
      </c>
      <c r="G54" s="44">
        <f>IF(billInc&gt;0,ROUNDUP(tblLog[[#This Row],[Часы]]/billInc,0)*billInc,tblLog[[#This Row],[Часы]])</f>
        <v>2.25</v>
      </c>
      <c r="H54" s="45">
        <f>IFERROR(INDEX(tblRates[СтавкаКлиенту],MATCH(tblLog[[#This Row],[Сотрудник]],tblRates[Сотрудник],0)),0)</f>
        <v>2600</v>
      </c>
      <c r="I54" s="45">
        <f>IF(tblLog[[#This Row],[Оплачиваемо]]=yesFlag,ROUND(tblLog[[#This Row],[ЧасыКОплате]]*tblLog[[#This Row],[Ставка]],2),0)</f>
        <v>5850</v>
      </c>
      <c r="J54" s="45">
        <f>IFERROR(INDEX(tblRates[СтавкаСотруднику],MATCH(tblLog[[#This Row],[Сотрудник]],tblRates[Сотрудник],0)),0)</f>
        <v>1700</v>
      </c>
      <c r="K54" s="45">
        <f>ROUND(tblLog[[#This Row],[Часы]]*tblLog[[#This Row],[СтавкаЗП]],2)</f>
        <v>3638</v>
      </c>
    </row>
    <row r="55">
      <c r="A55" s="41" t="n">
        <v>46265</v>
      </c>
      <c r="B55" s="42" t="inlineStr">
        <is>
          <t>Варга Тео</t>
        </is>
      </c>
      <c r="C55" s="42" t="inlineStr">
        <is>
          <t>Клиентский портал</t>
        </is>
      </c>
      <c r="D55" s="42" t="inlineStr">
        <is>
          <t>Код-ревью</t>
        </is>
      </c>
      <c r="E55" s="43" t="n">
        <v>1.92</v>
      </c>
      <c r="F55" s="42" t="inlineStr">
        <is>
          <t>Да</t>
        </is>
      </c>
      <c r="G55" s="44">
        <f>IF(billInc&gt;0,ROUNDUP(tblLog[[#This Row],[Часы]]/billInc,0)*billInc,tblLog[[#This Row],[Часы]])</f>
        <v>2</v>
      </c>
      <c r="H55" s="45">
        <f>IFERROR(INDEX(tblRates[СтавкаКлиенту],MATCH(tblLog[[#This Row],[Сотрудник]],tblRates[Сотрудник],0)),0)</f>
        <v>2600</v>
      </c>
      <c r="I55" s="45">
        <f>IF(tblLog[[#This Row],[Оплачиваемо]]=yesFlag,ROUND(tblLog[[#This Row],[ЧасыКОплате]]*tblLog[[#This Row],[Ставка]],2),0)</f>
        <v>5200</v>
      </c>
      <c r="J55" s="45">
        <f>IFERROR(INDEX(tblRates[СтавкаСотруднику],MATCH(tblLog[[#This Row],[Сотрудник]],tblRates[Сотрудник],0)),0)</f>
        <v>1700</v>
      </c>
      <c r="K55" s="45">
        <f>ROUND(tblLog[[#This Row],[Часы]]*tblLog[[#This Row],[СтавкаЗП]],2)</f>
        <v>3264</v>
      </c>
    </row>
    <row r="56">
      <c r="A56" s="41" t="n">
        <v>46265</v>
      </c>
      <c r="B56" s="42" t="inlineStr">
        <is>
          <t>Варга Тео</t>
        </is>
      </c>
      <c r="C56" s="42" t="inlineStr">
        <is>
          <t>Поддержка</t>
        </is>
      </c>
      <c r="D56" s="42" t="inlineStr">
        <is>
          <t>Исправление ошибок</t>
        </is>
      </c>
      <c r="E56" s="43" t="n">
        <v>0.87</v>
      </c>
      <c r="F56" s="42" t="inlineStr">
        <is>
          <t>Да</t>
        </is>
      </c>
      <c r="G56" s="44">
        <f>IF(billInc&gt;0,ROUNDUP(tblLog[[#This Row],[Часы]]/billInc,0)*billInc,tblLog[[#This Row],[Часы]])</f>
        <v>1</v>
      </c>
      <c r="H56" s="45">
        <f>IFERROR(INDEX(tblRates[СтавкаКлиенту],MATCH(tblLog[[#This Row],[Сотрудник]],tblRates[Сотрудник],0)),0)</f>
        <v>2600</v>
      </c>
      <c r="I56" s="45">
        <f>IF(tblLog[[#This Row],[Оплачиваемо]]=yesFlag,ROUND(tblLog[[#This Row],[ЧасыКОплате]]*tblLog[[#This Row],[Ставка]],2),0)</f>
        <v>2600</v>
      </c>
      <c r="J56" s="45">
        <f>IFERROR(INDEX(tblRates[СтавкаСотруднику],MATCH(tblLog[[#This Row],[Сотрудник]],tblRates[Сотрудник],0)),0)</f>
        <v>1700</v>
      </c>
      <c r="K56" s="45">
        <f>ROUND(tblLog[[#This Row],[Часы]]*tblLog[[#This Row],[СтавкаЗП]],2)</f>
        <v>1479</v>
      </c>
    </row>
    <row r="57">
      <c r="A57" s="41" t="n">
        <v>46265</v>
      </c>
      <c r="B57" s="42" t="inlineStr">
        <is>
          <t>Варга Тео</t>
        </is>
      </c>
      <c r="C57" s="42" t="inlineStr">
        <is>
          <t>Клиентский портал</t>
        </is>
      </c>
      <c r="D57" s="42" t="inlineStr">
        <is>
          <t>Выгрузка отчётов</t>
        </is>
      </c>
      <c r="E57" s="43" t="n">
        <v>1.6</v>
      </c>
      <c r="F57" s="42" t="inlineStr">
        <is>
          <t>Да</t>
        </is>
      </c>
      <c r="G57" s="44">
        <f>IF(billInc&gt;0,ROUNDUP(tblLog[[#This Row],[Часы]]/billInc,0)*billInc,tblLog[[#This Row],[Часы]])</f>
        <v>1.75</v>
      </c>
      <c r="H57" s="45">
        <f>IFERROR(INDEX(tblRates[СтавкаКлиенту],MATCH(tblLog[[#This Row],[Сотрудник]],tblRates[Сотрудник],0)),0)</f>
        <v>2600</v>
      </c>
      <c r="I57" s="45">
        <f>IF(tblLog[[#This Row],[Оплачиваемо]]=yesFlag,ROUND(tblLog[[#This Row],[ЧасыКОплате]]*tblLog[[#This Row],[Ставка]],2),0)</f>
        <v>4550</v>
      </c>
      <c r="J57" s="45">
        <f>IFERROR(INDEX(tblRates[СтавкаСотруднику],MATCH(tblLog[[#This Row],[Сотрудник]],tblRates[Сотрудник],0)),0)</f>
        <v>1700</v>
      </c>
      <c r="K57" s="45">
        <f>ROUND(tblLog[[#This Row],[Часы]]*tblLog[[#This Row],[СтавкаЗП]],2)</f>
        <v>2720</v>
      </c>
    </row>
    <row r="58">
      <c r="A58" s="41" t="n">
        <v>46265</v>
      </c>
      <c r="B58" s="42" t="inlineStr">
        <is>
          <t>Варга Тео</t>
        </is>
      </c>
      <c r="C58" s="42" t="inlineStr">
        <is>
          <t>Клиентский портал</t>
        </is>
      </c>
      <c r="D58" s="42" t="inlineStr">
        <is>
          <t>Код-ревью</t>
        </is>
      </c>
      <c r="E58" s="43" t="n">
        <v>0.97</v>
      </c>
      <c r="F58" s="42" t="inlineStr">
        <is>
          <t>Да</t>
        </is>
      </c>
      <c r="G58" s="44">
        <f>IF(billInc&gt;0,ROUNDUP(tblLog[[#This Row],[Часы]]/billInc,0)*billInc,tblLog[[#This Row],[Часы]])</f>
        <v>1</v>
      </c>
      <c r="H58" s="45">
        <f>IFERROR(INDEX(tblRates[СтавкаКлиенту],MATCH(tblLog[[#This Row],[Сотрудник]],tblRates[Сотрудник],0)),0)</f>
        <v>2600</v>
      </c>
      <c r="I58" s="45">
        <f>IF(tblLog[[#This Row],[Оплачиваемо]]=yesFlag,ROUND(tblLog[[#This Row],[ЧасыКОплате]]*tblLog[[#This Row],[Ставка]],2),0)</f>
        <v>2600</v>
      </c>
      <c r="J58" s="45">
        <f>IFERROR(INDEX(tblRates[СтавкаСотруднику],MATCH(tblLog[[#This Row],[Сотрудник]],tblRates[Сотрудник],0)),0)</f>
        <v>1700</v>
      </c>
      <c r="K58" s="45">
        <f>ROUND(tblLog[[#This Row],[Часы]]*tblLog[[#This Row],[СтавкаЗП]],2)</f>
        <v>1649</v>
      </c>
    </row>
    <row r="59">
      <c r="A59" s="41" t="n">
        <v>46265</v>
      </c>
      <c r="B59" s="42" t="inlineStr">
        <is>
          <t>Окафор Инес</t>
        </is>
      </c>
      <c r="C59" s="42" t="inlineStr">
        <is>
          <t>Поддержка</t>
        </is>
      </c>
      <c r="D59" s="42" t="inlineStr">
        <is>
          <t>Обновление сервера</t>
        </is>
      </c>
      <c r="E59" s="43" t="n">
        <v>1.83</v>
      </c>
      <c r="F59" s="42" t="inlineStr">
        <is>
          <t>Да</t>
        </is>
      </c>
      <c r="G59" s="44">
        <f>IF(billInc&gt;0,ROUNDUP(tblLog[[#This Row],[Часы]]/billInc,0)*billInc,tblLog[[#This Row],[Часы]])</f>
        <v>2</v>
      </c>
      <c r="H59" s="45">
        <f>IFERROR(INDEX(tblRates[СтавкаКлиенту],MATCH(tblLog[[#This Row],[Сотрудник]],tblRates[Сотрудник],0)),0)</f>
        <v>1900</v>
      </c>
      <c r="I59" s="45">
        <f>IF(tblLog[[#This Row],[Оплачиваемо]]=yesFlag,ROUND(tblLog[[#This Row],[ЧасыКОплате]]*tblLog[[#This Row],[Ставка]],2),0)</f>
        <v>3800</v>
      </c>
      <c r="J59" s="45">
        <f>IFERROR(INDEX(tblRates[СтавкаСотруднику],MATCH(tblLog[[#This Row],[Сотрудник]],tblRates[Сотрудник],0)),0)</f>
        <v>1200</v>
      </c>
      <c r="K59" s="45">
        <f>ROUND(tblLog[[#This Row],[Часы]]*tblLog[[#This Row],[СтавкаЗП]],2)</f>
        <v>2196</v>
      </c>
    </row>
    <row r="60">
      <c r="A60" s="41" t="n">
        <v>46265</v>
      </c>
      <c r="B60" s="42" t="inlineStr">
        <is>
          <t>Окафор Инес</t>
        </is>
      </c>
      <c r="C60" s="42" t="inlineStr">
        <is>
          <t>Клиентский портал</t>
        </is>
      </c>
      <c r="D60" s="42" t="inlineStr">
        <is>
          <t>Выгрузка отчётов</t>
        </is>
      </c>
      <c r="E60" s="43" t="n">
        <v>1.72</v>
      </c>
      <c r="F60" s="42" t="inlineStr">
        <is>
          <t>Да</t>
        </is>
      </c>
      <c r="G60" s="44">
        <f>IF(billInc&gt;0,ROUNDUP(tblLog[[#This Row],[Часы]]/billInc,0)*billInc,tblLog[[#This Row],[Часы]])</f>
        <v>1.75</v>
      </c>
      <c r="H60" s="45">
        <f>IFERROR(INDEX(tblRates[СтавкаКлиенту],MATCH(tblLog[[#This Row],[Сотрудник]],tblRates[Сотрудник],0)),0)</f>
        <v>1900</v>
      </c>
      <c r="I60" s="45">
        <f>IF(tblLog[[#This Row],[Оплачиваемо]]=yesFlag,ROUND(tblLog[[#This Row],[ЧасыКОплате]]*tblLog[[#This Row],[Ставка]],2),0)</f>
        <v>3325</v>
      </c>
      <c r="J60" s="45">
        <f>IFERROR(INDEX(tblRates[СтавкаСотруднику],MATCH(tblLog[[#This Row],[Сотрудник]],tblRates[Сотрудник],0)),0)</f>
        <v>1200</v>
      </c>
      <c r="K60" s="45">
        <f>ROUND(tblLog[[#This Row],[Часы]]*tblLog[[#This Row],[СтавкаЗП]],2)</f>
        <v>2064</v>
      </c>
    </row>
    <row r="61">
      <c r="A61" s="41" t="n">
        <v>46265</v>
      </c>
      <c r="B61" s="42" t="inlineStr">
        <is>
          <t>Окафор Инес</t>
        </is>
      </c>
      <c r="C61" s="42" t="inlineStr">
        <is>
          <t>Мобильное приложение для цеха</t>
        </is>
      </c>
      <c r="D61" s="42" t="inlineStr">
        <is>
          <t>Сканирование штрихкодов</t>
        </is>
      </c>
      <c r="E61" s="43" t="n">
        <v>1.2</v>
      </c>
      <c r="F61" s="42" t="inlineStr">
        <is>
          <t>Да</t>
        </is>
      </c>
      <c r="G61" s="44">
        <f>IF(billInc&gt;0,ROUNDUP(tblLog[[#This Row],[Часы]]/billInc,0)*billInc,tblLog[[#This Row],[Часы]])</f>
        <v>1.25</v>
      </c>
      <c r="H61" s="45">
        <f>IFERROR(INDEX(tblRates[СтавкаКлиенту],MATCH(tblLog[[#This Row],[Сотрудник]],tblRates[Сотрудник],0)),0)</f>
        <v>1900</v>
      </c>
      <c r="I61" s="45">
        <f>IF(tblLog[[#This Row],[Оплачиваемо]]=yesFlag,ROUND(tblLog[[#This Row],[ЧасыКОплате]]*tblLog[[#This Row],[Ставка]],2),0)</f>
        <v>2375</v>
      </c>
      <c r="J61" s="45">
        <f>IFERROR(INDEX(tblRates[СтавкаСотруднику],MATCH(tblLog[[#This Row],[Сотрудник]],tblRates[Сотрудник],0)),0)</f>
        <v>1200</v>
      </c>
      <c r="K61" s="45">
        <f>ROUND(tblLog[[#This Row],[Часы]]*tblLog[[#This Row],[СтавкаЗП]],2)</f>
        <v>1440</v>
      </c>
    </row>
    <row r="62">
      <c r="A62" s="41" t="n">
        <v>46265</v>
      </c>
      <c r="B62" s="42" t="inlineStr">
        <is>
          <t>Окафор Инес</t>
        </is>
      </c>
      <c r="C62" s="42" t="inlineStr">
        <is>
          <t>Поддержка</t>
        </is>
      </c>
      <c r="D62" s="42" t="inlineStr">
        <is>
          <t>Созвон с клиентом</t>
        </is>
      </c>
      <c r="E62" s="43" t="n">
        <v>1.88</v>
      </c>
      <c r="F62" s="42" t="inlineStr">
        <is>
          <t>Нет</t>
        </is>
      </c>
      <c r="G62" s="44">
        <f>IF(billInc&gt;0,ROUNDUP(tblLog[[#This Row],[Часы]]/billInc,0)*billInc,tblLog[[#This Row],[Часы]])</f>
        <v>2</v>
      </c>
      <c r="H62" s="45">
        <f>IFERROR(INDEX(tblRates[СтавкаКлиенту],MATCH(tblLog[[#This Row],[Сотрудник]],tblRates[Сотрудник],0)),0)</f>
        <v>1900</v>
      </c>
      <c r="I62" s="45">
        <f>IF(tblLog[[#This Row],[Оплачиваемо]]=yesFlag,ROUND(tblLog[[#This Row],[ЧасыКОплате]]*tblLog[[#This Row],[Ставка]],2),0)</f>
        <v>0</v>
      </c>
      <c r="J62" s="45">
        <f>IFERROR(INDEX(tblRates[СтавкаСотруднику],MATCH(tblLog[[#This Row],[Сотрудник]],tblRates[Сотрудник],0)),0)</f>
        <v>1200</v>
      </c>
      <c r="K62" s="45">
        <f>ROUND(tblLog[[#This Row],[Часы]]*tblLog[[#This Row],[СтавкаЗП]],2)</f>
        <v>2256</v>
      </c>
    </row>
    <row r="63">
      <c r="A63" s="41" t="n">
        <v>46265</v>
      </c>
      <c r="B63" s="42" t="inlineStr">
        <is>
          <t>Окафор Инес</t>
        </is>
      </c>
      <c r="C63" s="42" t="inlineStr">
        <is>
          <t>Мобильное приложение для цеха</t>
        </is>
      </c>
      <c r="D63" s="42" t="inlineStr">
        <is>
          <t>Push-уведомления</t>
        </is>
      </c>
      <c r="E63" s="43" t="n">
        <v>1.37</v>
      </c>
      <c r="F63" s="42" t="inlineStr">
        <is>
          <t>Да</t>
        </is>
      </c>
      <c r="G63" s="44">
        <f>IF(billInc&gt;0,ROUNDUP(tblLog[[#This Row],[Часы]]/billInc,0)*billInc,tblLog[[#This Row],[Часы]])</f>
        <v>1.5</v>
      </c>
      <c r="H63" s="45">
        <f>IFERROR(INDEX(tblRates[СтавкаКлиенту],MATCH(tblLog[[#This Row],[Сотрудник]],tblRates[Сотрудник],0)),0)</f>
        <v>1900</v>
      </c>
      <c r="I63" s="45">
        <f>IF(tblLog[[#This Row],[Оплачиваемо]]=yesFlag,ROUND(tblLog[[#This Row],[ЧасыКОплате]]*tblLog[[#This Row],[Ставка]],2),0)</f>
        <v>2850</v>
      </c>
      <c r="J63" s="45">
        <f>IFERROR(INDEX(tblRates[СтавкаСотруднику],MATCH(tblLog[[#This Row],[Сотрудник]],tblRates[Сотрудник],0)),0)</f>
        <v>1200</v>
      </c>
      <c r="K63" s="45">
        <f>ROUND(tblLog[[#This Row],[Часы]]*tblLog[[#This Row],[СтавкаЗП]],2)</f>
        <v>1644</v>
      </c>
    </row>
    <row r="64">
      <c r="A64" s="41" t="n">
        <v>46266</v>
      </c>
      <c r="B64" s="42" t="inlineStr">
        <is>
          <t>Бреннер Лука</t>
        </is>
      </c>
      <c r="C64" s="42" t="inlineStr">
        <is>
          <t>Клиентский портал</t>
        </is>
      </c>
      <c r="D64" s="42" t="inlineStr">
        <is>
          <t>Код-ревью</t>
        </is>
      </c>
      <c r="E64" s="43" t="n">
        <v>2.16</v>
      </c>
      <c r="F64" s="42" t="inlineStr">
        <is>
          <t>Да</t>
        </is>
      </c>
      <c r="G64" s="44">
        <f>IF(billInc&gt;0,ROUNDUP(tblLog[[#This Row],[Часы]]/billInc,0)*billInc,tblLog[[#This Row],[Часы]])</f>
        <v>2.25</v>
      </c>
      <c r="H64" s="45">
        <f>IFERROR(INDEX(tblRates[СтавкаКлиенту],MATCH(tblLog[[#This Row],[Сотрудник]],tblRates[Сотрудник],0)),0)</f>
        <v>2300</v>
      </c>
      <c r="I64" s="45">
        <f>IF(tblLog[[#This Row],[Оплачиваемо]]=yesFlag,ROUND(tblLog[[#This Row],[ЧасыКОплате]]*tblLog[[#This Row],[Ставка]],2),0)</f>
        <v>5175</v>
      </c>
      <c r="J64" s="45">
        <f>IFERROR(INDEX(tblRates[СтавкаСотруднику],MATCH(tblLog[[#This Row],[Сотрудник]],tblRates[Сотрудник],0)),0)</f>
        <v>1500</v>
      </c>
      <c r="K64" s="45">
        <f>ROUND(tblLog[[#This Row],[Часы]]*tblLog[[#This Row],[СтавкаЗП]],2)</f>
        <v>3240</v>
      </c>
    </row>
    <row r="65">
      <c r="A65" s="41" t="n">
        <v>46266</v>
      </c>
      <c r="B65" s="42" t="inlineStr">
        <is>
          <t>Бреннер Лука</t>
        </is>
      </c>
      <c r="C65" s="42" t="inlineStr">
        <is>
          <t>Мобильное приложение для цеха</t>
        </is>
      </c>
      <c r="D65" s="42" t="inlineStr">
        <is>
          <t>Push-уведомления</t>
        </is>
      </c>
      <c r="E65" s="43" t="n">
        <v>1.75</v>
      </c>
      <c r="F65" s="42" t="inlineStr">
        <is>
          <t>Да</t>
        </is>
      </c>
      <c r="G65" s="44">
        <f>IF(billInc&gt;0,ROUNDUP(tblLog[[#This Row],[Часы]]/billInc,0)*billInc,tblLog[[#This Row],[Часы]])</f>
        <v>1.75</v>
      </c>
      <c r="H65" s="45">
        <f>IFERROR(INDEX(tblRates[СтавкаКлиенту],MATCH(tblLog[[#This Row],[Сотрудник]],tblRates[Сотрудник],0)),0)</f>
        <v>2300</v>
      </c>
      <c r="I65" s="45">
        <f>IF(tblLog[[#This Row],[Оплачиваемо]]=yesFlag,ROUND(tblLog[[#This Row],[ЧасыКОплате]]*tblLog[[#This Row],[Ставка]],2),0)</f>
        <v>4025</v>
      </c>
      <c r="J65" s="45">
        <f>IFERROR(INDEX(tblRates[СтавкаСотруднику],MATCH(tblLog[[#This Row],[Сотрудник]],tblRates[Сотрудник],0)),0)</f>
        <v>1500</v>
      </c>
      <c r="K65" s="45">
        <f>ROUND(tblLog[[#This Row],[Часы]]*tblLog[[#This Row],[СтавкаЗП]],2)</f>
        <v>2625</v>
      </c>
    </row>
    <row r="66">
      <c r="A66" s="41" t="n">
        <v>46266</v>
      </c>
      <c r="B66" s="42" t="inlineStr">
        <is>
          <t>Бреннер Лука</t>
        </is>
      </c>
      <c r="C66" s="42" t="inlineStr">
        <is>
          <t>Клиентский портал</t>
        </is>
      </c>
      <c r="D66" s="42" t="inlineStr">
        <is>
          <t>Код-ревью</t>
        </is>
      </c>
      <c r="E66" s="43" t="n">
        <v>2.09</v>
      </c>
      <c r="F66" s="42" t="inlineStr">
        <is>
          <t>Да</t>
        </is>
      </c>
      <c r="G66" s="44">
        <f>IF(billInc&gt;0,ROUNDUP(tblLog[[#This Row],[Часы]]/billInc,0)*billInc,tblLog[[#This Row],[Часы]])</f>
        <v>2.25</v>
      </c>
      <c r="H66" s="45">
        <f>IFERROR(INDEX(tblRates[СтавкаКлиенту],MATCH(tblLog[[#This Row],[Сотрудник]],tblRates[Сотрудник],0)),0)</f>
        <v>2300</v>
      </c>
      <c r="I66" s="45">
        <f>IF(tblLog[[#This Row],[Оплачиваемо]]=yesFlag,ROUND(tblLog[[#This Row],[ЧасыКОплате]]*tblLog[[#This Row],[Ставка]],2),0)</f>
        <v>5175</v>
      </c>
      <c r="J66" s="45">
        <f>IFERROR(INDEX(tblRates[СтавкаСотруднику],MATCH(tblLog[[#This Row],[Сотрудник]],tblRates[Сотрудник],0)),0)</f>
        <v>1500</v>
      </c>
      <c r="K66" s="45">
        <f>ROUND(tblLog[[#This Row],[Часы]]*tblLog[[#This Row],[СтавкаЗП]],2)</f>
        <v>3135</v>
      </c>
    </row>
    <row r="67">
      <c r="A67" s="41" t="n">
        <v>46266</v>
      </c>
      <c r="B67" s="42" t="inlineStr">
        <is>
          <t>Варга Тео</t>
        </is>
      </c>
      <c r="C67" s="42" t="inlineStr">
        <is>
          <t>Клиентский портал</t>
        </is>
      </c>
      <c r="D67" s="42" t="inlineStr">
        <is>
          <t>Код-ревью</t>
        </is>
      </c>
      <c r="E67" s="43" t="n">
        <v>2.39</v>
      </c>
      <c r="F67" s="42" t="inlineStr">
        <is>
          <t>Да</t>
        </is>
      </c>
      <c r="G67" s="44">
        <f>IF(billInc&gt;0,ROUNDUP(tblLog[[#This Row],[Часы]]/billInc,0)*billInc,tblLog[[#This Row],[Часы]])</f>
        <v>2.5</v>
      </c>
      <c r="H67" s="45">
        <f>IFERROR(INDEX(tblRates[СтавкаКлиенту],MATCH(tblLog[[#This Row],[Сотрудник]],tblRates[Сотрудник],0)),0)</f>
        <v>2600</v>
      </c>
      <c r="I67" s="45">
        <f>IF(tblLog[[#This Row],[Оплачиваемо]]=yesFlag,ROUND(tblLog[[#This Row],[ЧасыКОплате]]*tblLog[[#This Row],[Ставка]],2),0)</f>
        <v>6500</v>
      </c>
      <c r="J67" s="45">
        <f>IFERROR(INDEX(tblRates[СтавкаСотруднику],MATCH(tblLog[[#This Row],[Сотрудник]],tblRates[Сотрудник],0)),0)</f>
        <v>1700</v>
      </c>
      <c r="K67" s="45">
        <f>ROUND(tblLog[[#This Row],[Часы]]*tblLog[[#This Row],[СтавкаЗП]],2)</f>
        <v>4063</v>
      </c>
    </row>
    <row r="68">
      <c r="A68" s="41" t="n">
        <v>46266</v>
      </c>
      <c r="B68" s="42" t="inlineStr">
        <is>
          <t>Варга Тео</t>
        </is>
      </c>
      <c r="C68" s="42" t="inlineStr">
        <is>
          <t>Мобильное приложение для цеха</t>
        </is>
      </c>
      <c r="D68" s="42" t="inlineStr">
        <is>
          <t>Офлайн-синхронизация</t>
        </is>
      </c>
      <c r="E68" s="43" t="n">
        <v>3.2</v>
      </c>
      <c r="F68" s="42" t="inlineStr">
        <is>
          <t>Да</t>
        </is>
      </c>
      <c r="G68" s="44">
        <f>IF(billInc&gt;0,ROUNDUP(tblLog[[#This Row],[Часы]]/billInc,0)*billInc,tblLog[[#This Row],[Часы]])</f>
        <v>3.25</v>
      </c>
      <c r="H68" s="45">
        <f>IFERROR(INDEX(tblRates[СтавкаКлиенту],MATCH(tblLog[[#This Row],[Сотрудник]],tblRates[Сотрудник],0)),0)</f>
        <v>2600</v>
      </c>
      <c r="I68" s="45">
        <f>IF(tblLog[[#This Row],[Оплачиваемо]]=yesFlag,ROUND(tblLog[[#This Row],[ЧасыКОплате]]*tblLog[[#This Row],[Ставка]],2),0)</f>
        <v>8450</v>
      </c>
      <c r="J68" s="45">
        <f>IFERROR(INDEX(tblRates[СтавкаСотруднику],MATCH(tblLog[[#This Row],[Сотрудник]],tblRates[Сотрудник],0)),0)</f>
        <v>1700</v>
      </c>
      <c r="K68" s="45">
        <f>ROUND(tblLog[[#This Row],[Часы]]*tblLog[[#This Row],[СтавкаЗП]],2)</f>
        <v>5440</v>
      </c>
    </row>
    <row r="69">
      <c r="A69" s="41" t="n">
        <v>46266</v>
      </c>
      <c r="B69" s="42" t="inlineStr">
        <is>
          <t>Варга Тео</t>
        </is>
      </c>
      <c r="C69" s="42" t="inlineStr">
        <is>
          <t>Мобильное приложение для цеха</t>
        </is>
      </c>
      <c r="D69" s="42" t="inlineStr">
        <is>
          <t>Офлайн-синхронизация</t>
        </is>
      </c>
      <c r="E69" s="43" t="n">
        <v>1.91</v>
      </c>
      <c r="F69" s="42" t="inlineStr">
        <is>
          <t>Да</t>
        </is>
      </c>
      <c r="G69" s="44">
        <f>IF(billInc&gt;0,ROUNDUP(tblLog[[#This Row],[Часы]]/billInc,0)*billInc,tblLog[[#This Row],[Часы]])</f>
        <v>2</v>
      </c>
      <c r="H69" s="45">
        <f>IFERROR(INDEX(tblRates[СтавкаКлиенту],MATCH(tblLog[[#This Row],[Сотрудник]],tblRates[Сотрудник],0)),0)</f>
        <v>2600</v>
      </c>
      <c r="I69" s="45">
        <f>IF(tblLog[[#This Row],[Оплачиваемо]]=yesFlag,ROUND(tblLog[[#This Row],[ЧасыКОплате]]*tblLog[[#This Row],[Ставка]],2),0)</f>
        <v>5200</v>
      </c>
      <c r="J69" s="45">
        <f>IFERROR(INDEX(tblRates[СтавкаСотруднику],MATCH(tblLog[[#This Row],[Сотрудник]],tblRates[Сотрудник],0)),0)</f>
        <v>1700</v>
      </c>
      <c r="K69" s="45">
        <f>ROUND(tblLog[[#This Row],[Часы]]*tblLog[[#This Row],[СтавкаЗП]],2)</f>
        <v>3247</v>
      </c>
    </row>
    <row r="70">
      <c r="A70" s="41" t="n">
        <v>46266</v>
      </c>
      <c r="B70" s="42" t="inlineStr">
        <is>
          <t>Окафор Инес</t>
        </is>
      </c>
      <c r="C70" s="42" t="inlineStr">
        <is>
          <t>Мобильное приложение для цеха</t>
        </is>
      </c>
      <c r="D70" s="42" t="inlineStr">
        <is>
          <t>Офлайн-синхронизация</t>
        </is>
      </c>
      <c r="E70" s="43" t="n">
        <v>2.06</v>
      </c>
      <c r="F70" s="42" t="inlineStr">
        <is>
          <t>Нет</t>
        </is>
      </c>
      <c r="G70" s="44">
        <f>IF(billInc&gt;0,ROUNDUP(tblLog[[#This Row],[Часы]]/billInc,0)*billInc,tblLog[[#This Row],[Часы]])</f>
        <v>2.25</v>
      </c>
      <c r="H70" s="45">
        <f>IFERROR(INDEX(tblRates[СтавкаКлиенту],MATCH(tblLog[[#This Row],[Сотрудник]],tblRates[Сотрудник],0)),0)</f>
        <v>1900</v>
      </c>
      <c r="I70" s="45">
        <f>IF(tblLog[[#This Row],[Оплачиваемо]]=yesFlag,ROUND(tblLog[[#This Row],[ЧасыКОплате]]*tblLog[[#This Row],[Ставка]],2),0)</f>
        <v>0</v>
      </c>
      <c r="J70" s="45">
        <f>IFERROR(INDEX(tblRates[СтавкаСотруднику],MATCH(tblLog[[#This Row],[Сотрудник]],tblRates[Сотрудник],0)),0)</f>
        <v>1200</v>
      </c>
      <c r="K70" s="45">
        <f>ROUND(tblLog[[#This Row],[Часы]]*tblLog[[#This Row],[СтавкаЗП]],2)</f>
        <v>2472</v>
      </c>
    </row>
    <row r="71">
      <c r="A71" s="41" t="n">
        <v>46266</v>
      </c>
      <c r="B71" s="42" t="inlineStr">
        <is>
          <t>Окафор Инес</t>
        </is>
      </c>
      <c r="C71" s="42" t="inlineStr">
        <is>
          <t>Мобильное приложение для цеха</t>
        </is>
      </c>
      <c r="D71" s="42" t="inlineStr">
        <is>
          <t>Push-уведомления</t>
        </is>
      </c>
      <c r="E71" s="43" t="n">
        <v>2.05</v>
      </c>
      <c r="F71" s="42" t="inlineStr">
        <is>
          <t>Да</t>
        </is>
      </c>
      <c r="G71" s="44">
        <f>IF(billInc&gt;0,ROUNDUP(tblLog[[#This Row],[Часы]]/billInc,0)*billInc,tblLog[[#This Row],[Часы]])</f>
        <v>2.25</v>
      </c>
      <c r="H71" s="45">
        <f>IFERROR(INDEX(tblRates[СтавкаКлиенту],MATCH(tblLog[[#This Row],[Сотрудник]],tblRates[Сотрудник],0)),0)</f>
        <v>1900</v>
      </c>
      <c r="I71" s="45">
        <f>IF(tblLog[[#This Row],[Оплачиваемо]]=yesFlag,ROUND(tblLog[[#This Row],[ЧасыКОплате]]*tblLog[[#This Row],[Ставка]],2),0)</f>
        <v>4275</v>
      </c>
      <c r="J71" s="45">
        <f>IFERROR(INDEX(tblRates[СтавкаСотруднику],MATCH(tblLog[[#This Row],[Сотрудник]],tblRates[Сотрудник],0)),0)</f>
        <v>1200</v>
      </c>
      <c r="K71" s="45">
        <f>ROUND(tblLog[[#This Row],[Часы]]*tblLog[[#This Row],[СтавкаЗП]],2)</f>
        <v>2460</v>
      </c>
    </row>
    <row r="72">
      <c r="A72" s="41" t="n">
        <v>46266</v>
      </c>
      <c r="B72" s="42" t="inlineStr">
        <is>
          <t>Окафор Инес</t>
        </is>
      </c>
      <c r="C72" s="42" t="inlineStr">
        <is>
          <t>Мобильное приложение для цеха</t>
        </is>
      </c>
      <c r="D72" s="42" t="inlineStr">
        <is>
          <t>Push-уведомления</t>
        </is>
      </c>
      <c r="E72" s="43" t="n">
        <v>1.44</v>
      </c>
      <c r="F72" s="42" t="inlineStr">
        <is>
          <t>Да</t>
        </is>
      </c>
      <c r="G72" s="44">
        <f>IF(billInc&gt;0,ROUNDUP(tblLog[[#This Row],[Часы]]/billInc,0)*billInc,tblLog[[#This Row],[Часы]])</f>
        <v>1.5</v>
      </c>
      <c r="H72" s="45">
        <f>IFERROR(INDEX(tblRates[СтавкаКлиенту],MATCH(tblLog[[#This Row],[Сотрудник]],tblRates[Сотрудник],0)),0)</f>
        <v>1900</v>
      </c>
      <c r="I72" s="45">
        <f>IF(tblLog[[#This Row],[Оплачиваемо]]=yesFlag,ROUND(tblLog[[#This Row],[ЧасыКОплате]]*tblLog[[#This Row],[Ставка]],2),0)</f>
        <v>2850</v>
      </c>
      <c r="J72" s="45">
        <f>IFERROR(INDEX(tblRates[СтавкаСотруднику],MATCH(tblLog[[#This Row],[Сотрудник]],tblRates[Сотрудник],0)),0)</f>
        <v>1200</v>
      </c>
      <c r="K72" s="45">
        <f>ROUND(tblLog[[#This Row],[Часы]]*tblLog[[#This Row],[СтавкаЗП]],2)</f>
        <v>1728</v>
      </c>
    </row>
    <row r="73">
      <c r="A73" s="41" t="n">
        <v>46266</v>
      </c>
      <c r="B73" s="42" t="inlineStr">
        <is>
          <t>Окафор Инес</t>
        </is>
      </c>
      <c r="C73" s="42" t="inlineStr">
        <is>
          <t>Клиентский портал</t>
        </is>
      </c>
      <c r="D73" s="42" t="inlineStr">
        <is>
          <t>Код-ревью</t>
        </is>
      </c>
      <c r="E73" s="43" t="n">
        <v>1.95</v>
      </c>
      <c r="F73" s="42" t="inlineStr">
        <is>
          <t>Да</t>
        </is>
      </c>
      <c r="G73" s="44">
        <f>IF(billInc&gt;0,ROUNDUP(tblLog[[#This Row],[Часы]]/billInc,0)*billInc,tblLog[[#This Row],[Часы]])</f>
        <v>2</v>
      </c>
      <c r="H73" s="45">
        <f>IFERROR(INDEX(tblRates[СтавкаКлиенту],MATCH(tblLog[[#This Row],[Сотрудник]],tblRates[Сотрудник],0)),0)</f>
        <v>1900</v>
      </c>
      <c r="I73" s="45">
        <f>IF(tblLog[[#This Row],[Оплачиваемо]]=yesFlag,ROUND(tblLog[[#This Row],[ЧасыКОплате]]*tblLog[[#This Row],[Ставка]],2),0)</f>
        <v>3800</v>
      </c>
      <c r="J73" s="45">
        <f>IFERROR(INDEX(tblRates[СтавкаСотруднику],MATCH(tblLog[[#This Row],[Сотрудник]],tblRates[Сотрудник],0)),0)</f>
        <v>1200</v>
      </c>
      <c r="K73" s="45">
        <f>ROUND(tblLog[[#This Row],[Часы]]*tblLog[[#This Row],[СтавкаЗП]],2)</f>
        <v>2340</v>
      </c>
    </row>
    <row r="74">
      <c r="A74" s="41" t="n">
        <v>46266</v>
      </c>
      <c r="B74" s="42" t="inlineStr">
        <is>
          <t>Сольберг Мира</t>
        </is>
      </c>
      <c r="C74" s="42" t="inlineStr">
        <is>
          <t>Клиентский портал</t>
        </is>
      </c>
      <c r="D74" s="42" t="inlineStr">
        <is>
          <t>Страница статуса заказа</t>
        </is>
      </c>
      <c r="E74" s="43" t="n">
        <v>2.86</v>
      </c>
      <c r="F74" s="42" t="inlineStr">
        <is>
          <t>Да</t>
        </is>
      </c>
      <c r="G74" s="44">
        <f>IF(billInc&gt;0,ROUNDUP(tblLog[[#This Row],[Часы]]/billInc,0)*billInc,tblLog[[#This Row],[Часы]])</f>
        <v>3</v>
      </c>
      <c r="H74" s="45">
        <f>IFERROR(INDEX(tblRates[СтавкаКлиенту],MATCH(tblLog[[#This Row],[Сотрудник]],tblRates[Сотрудник],0)),0)</f>
        <v>3500</v>
      </c>
      <c r="I74" s="45">
        <f>IF(tblLog[[#This Row],[Оплачиваемо]]=yesFlag,ROUND(tblLog[[#This Row],[ЧасыКОплате]]*tblLog[[#This Row],[Ставка]],2),0)</f>
        <v>10500</v>
      </c>
      <c r="J74" s="45">
        <f>IFERROR(INDEX(tblRates[СтавкаСотруднику],MATCH(tblLog[[#This Row],[Сотрудник]],tblRates[Сотрудник],0)),0)</f>
        <v>2400</v>
      </c>
      <c r="K74" s="45">
        <f>ROUND(tblLog[[#This Row],[Часы]]*tblLog[[#This Row],[СтавкаЗП]],2)</f>
        <v>6864</v>
      </c>
    </row>
    <row r="75">
      <c r="A75" s="41" t="n">
        <v>46266</v>
      </c>
      <c r="B75" s="42" t="inlineStr">
        <is>
          <t>Сольберг Мира</t>
        </is>
      </c>
      <c r="C75" s="42" t="inlineStr">
        <is>
          <t>Клиентский портал</t>
        </is>
      </c>
      <c r="D75" s="42" t="inlineStr">
        <is>
          <t>Страница статуса заказа</t>
        </is>
      </c>
      <c r="E75" s="43" t="n">
        <v>3.29</v>
      </c>
      <c r="F75" s="42" t="inlineStr">
        <is>
          <t>Да</t>
        </is>
      </c>
      <c r="G75" s="44">
        <f>IF(billInc&gt;0,ROUNDUP(tblLog[[#This Row],[Часы]]/billInc,0)*billInc,tblLog[[#This Row],[Часы]])</f>
        <v>3.5</v>
      </c>
      <c r="H75" s="45">
        <f>IFERROR(INDEX(tblRates[СтавкаКлиенту],MATCH(tblLog[[#This Row],[Сотрудник]],tblRates[Сотрудник],0)),0)</f>
        <v>3500</v>
      </c>
      <c r="I75" s="45">
        <f>IF(tblLog[[#This Row],[Оплачиваемо]]=yesFlag,ROUND(tblLog[[#This Row],[ЧасыКОплате]]*tblLog[[#This Row],[Ставка]],2),0)</f>
        <v>12250</v>
      </c>
      <c r="J75" s="45">
        <f>IFERROR(INDEX(tblRates[СтавкаСотруднику],MATCH(tblLog[[#This Row],[Сотрудник]],tblRates[Сотрудник],0)),0)</f>
        <v>2400</v>
      </c>
      <c r="K75" s="45">
        <f>ROUND(tblLog[[#This Row],[Часы]]*tblLog[[#This Row],[СтавкаЗП]],2)</f>
        <v>7896</v>
      </c>
    </row>
    <row r="76">
      <c r="A76" s="41" t="n">
        <v>46266</v>
      </c>
      <c r="B76" s="42" t="inlineStr">
        <is>
          <t>Сольберг Мира</t>
        </is>
      </c>
      <c r="C76" s="42" t="inlineStr">
        <is>
          <t>Поддержка</t>
        </is>
      </c>
      <c r="D76" s="42" t="inlineStr">
        <is>
          <t>Обновление сервера</t>
        </is>
      </c>
      <c r="E76" s="43" t="n">
        <v>1.85</v>
      </c>
      <c r="F76" s="42" t="inlineStr">
        <is>
          <t>Нет</t>
        </is>
      </c>
      <c r="G76" s="44">
        <f>IF(billInc&gt;0,ROUNDUP(tblLog[[#This Row],[Часы]]/billInc,0)*billInc,tblLog[[#This Row],[Часы]])</f>
        <v>2</v>
      </c>
      <c r="H76" s="45">
        <f>IFERROR(INDEX(tblRates[СтавкаКлиенту],MATCH(tblLog[[#This Row],[Сотрудник]],tblRates[Сотрудник],0)),0)</f>
        <v>3500</v>
      </c>
      <c r="I76" s="45">
        <f>IF(tblLog[[#This Row],[Оплачиваемо]]=yesFlag,ROUND(tblLog[[#This Row],[ЧасыКОплате]]*tblLog[[#This Row],[Ставка]],2),0)</f>
        <v>0</v>
      </c>
      <c r="J76" s="45">
        <f>IFERROR(INDEX(tblRates[СтавкаСотруднику],MATCH(tblLog[[#This Row],[Сотрудник]],tblRates[Сотрудник],0)),0)</f>
        <v>2400</v>
      </c>
      <c r="K76" s="45">
        <f>ROUND(tblLog[[#This Row],[Часы]]*tblLog[[#This Row],[СтавкаЗП]],2)</f>
        <v>4440</v>
      </c>
    </row>
    <row r="77">
      <c r="A77" s="41" t="n">
        <v>46267</v>
      </c>
      <c r="B77" s="42" t="inlineStr">
        <is>
          <t>Бреннер Лука</t>
        </is>
      </c>
      <c r="C77" s="42" t="inlineStr">
        <is>
          <t>Мобильное приложение для цеха</t>
        </is>
      </c>
      <c r="D77" s="42" t="inlineStr">
        <is>
          <t>Сканирование штрихкодов</t>
        </is>
      </c>
      <c r="E77" s="43" t="n">
        <v>1.09</v>
      </c>
      <c r="F77" s="42" t="inlineStr">
        <is>
          <t>Да</t>
        </is>
      </c>
      <c r="G77" s="44">
        <f>IF(billInc&gt;0,ROUNDUP(tblLog[[#This Row],[Часы]]/billInc,0)*billInc,tblLog[[#This Row],[Часы]])</f>
        <v>1.25</v>
      </c>
      <c r="H77" s="45">
        <f>IFERROR(INDEX(tblRates[СтавкаКлиенту],MATCH(tblLog[[#This Row],[Сотрудник]],tblRates[Сотрудник],0)),0)</f>
        <v>2300</v>
      </c>
      <c r="I77" s="45">
        <f>IF(tblLog[[#This Row],[Оплачиваемо]]=yesFlag,ROUND(tblLog[[#This Row],[ЧасыКОплате]]*tblLog[[#This Row],[Ставка]],2),0)</f>
        <v>2875</v>
      </c>
      <c r="J77" s="45">
        <f>IFERROR(INDEX(tblRates[СтавкаСотруднику],MATCH(tblLog[[#This Row],[Сотрудник]],tblRates[Сотрудник],0)),0)</f>
        <v>1500</v>
      </c>
      <c r="K77" s="45">
        <f>ROUND(tblLog[[#This Row],[Часы]]*tblLog[[#This Row],[СтавкаЗП]],2)</f>
        <v>1635</v>
      </c>
    </row>
    <row r="78">
      <c r="A78" s="41" t="n">
        <v>46267</v>
      </c>
      <c r="B78" s="42" t="inlineStr">
        <is>
          <t>Бреннер Лука</t>
        </is>
      </c>
      <c r="C78" s="42" t="inlineStr">
        <is>
          <t>Клиентский портал</t>
        </is>
      </c>
      <c r="D78" s="42" t="inlineStr">
        <is>
          <t>Код-ревью</t>
        </is>
      </c>
      <c r="E78" s="43" t="n">
        <v>0.4</v>
      </c>
      <c r="F78" s="42" t="inlineStr">
        <is>
          <t>Да</t>
        </is>
      </c>
      <c r="G78" s="44">
        <f>IF(billInc&gt;0,ROUNDUP(tblLog[[#This Row],[Часы]]/billInc,0)*billInc,tblLog[[#This Row],[Часы]])</f>
        <v>0.5</v>
      </c>
      <c r="H78" s="45">
        <f>IFERROR(INDEX(tblRates[СтавкаКлиенту],MATCH(tblLog[[#This Row],[Сотрудник]],tblRates[Сотрудник],0)),0)</f>
        <v>2300</v>
      </c>
      <c r="I78" s="45">
        <f>IF(tblLog[[#This Row],[Оплачиваемо]]=yesFlag,ROUND(tblLog[[#This Row],[ЧасыКОплате]]*tblLog[[#This Row],[Ставка]],2),0)</f>
        <v>1150</v>
      </c>
      <c r="J78" s="45">
        <f>IFERROR(INDEX(tblRates[СтавкаСотруднику],MATCH(tblLog[[#This Row],[Сотрудник]],tblRates[Сотрудник],0)),0)</f>
        <v>1500</v>
      </c>
      <c r="K78" s="45">
        <f>ROUND(tblLog[[#This Row],[Часы]]*tblLog[[#This Row],[СтавкаЗП]],2)</f>
        <v>600</v>
      </c>
    </row>
    <row r="79">
      <c r="A79" s="41" t="n">
        <v>46267</v>
      </c>
      <c r="B79" s="42" t="inlineStr">
        <is>
          <t>Бреннер Лука</t>
        </is>
      </c>
      <c r="C79" s="42" t="inlineStr">
        <is>
          <t>Клиентский портал</t>
        </is>
      </c>
      <c r="D79" s="42" t="inlineStr">
        <is>
          <t>Авторизация и роли</t>
        </is>
      </c>
      <c r="E79" s="43" t="n">
        <v>2.5</v>
      </c>
      <c r="F79" s="42" t="inlineStr">
        <is>
          <t>Да</t>
        </is>
      </c>
      <c r="G79" s="44">
        <f>IF(billInc&gt;0,ROUNDUP(tblLog[[#This Row],[Часы]]/billInc,0)*billInc,tblLog[[#This Row],[Часы]])</f>
        <v>2.5</v>
      </c>
      <c r="H79" s="45">
        <f>IFERROR(INDEX(tblRates[СтавкаКлиенту],MATCH(tblLog[[#This Row],[Сотрудник]],tblRates[Сотрудник],0)),0)</f>
        <v>2300</v>
      </c>
      <c r="I79" s="45">
        <f>IF(tblLog[[#This Row],[Оплачиваемо]]=yesFlag,ROUND(tblLog[[#This Row],[ЧасыКОплате]]*tblLog[[#This Row],[Ставка]],2),0)</f>
        <v>5750</v>
      </c>
      <c r="J79" s="45">
        <f>IFERROR(INDEX(tblRates[СтавкаСотруднику],MATCH(tblLog[[#This Row],[Сотрудник]],tblRates[Сотрудник],0)),0)</f>
        <v>1500</v>
      </c>
      <c r="K79" s="45">
        <f>ROUND(tblLog[[#This Row],[Часы]]*tblLog[[#This Row],[СтавкаЗП]],2)</f>
        <v>3750</v>
      </c>
    </row>
    <row r="80">
      <c r="A80" s="41" t="n">
        <v>46267</v>
      </c>
      <c r="B80" s="42" t="inlineStr">
        <is>
          <t>Бреннер Лука</t>
        </is>
      </c>
      <c r="C80" s="42" t="inlineStr">
        <is>
          <t>Клиентский портал</t>
        </is>
      </c>
      <c r="D80" s="42" t="inlineStr">
        <is>
          <t>Страница статуса заказа</t>
        </is>
      </c>
      <c r="E80" s="43" t="n">
        <v>2.01</v>
      </c>
      <c r="F80" s="42" t="inlineStr">
        <is>
          <t>Да</t>
        </is>
      </c>
      <c r="G80" s="44">
        <f>IF(billInc&gt;0,ROUNDUP(tblLog[[#This Row],[Часы]]/billInc,0)*billInc,tblLog[[#This Row],[Часы]])</f>
        <v>2.25</v>
      </c>
      <c r="H80" s="45">
        <f>IFERROR(INDEX(tblRates[СтавкаКлиенту],MATCH(tblLog[[#This Row],[Сотрудник]],tblRates[Сотрудник],0)),0)</f>
        <v>2300</v>
      </c>
      <c r="I80" s="45">
        <f>IF(tblLog[[#This Row],[Оплачиваемо]]=yesFlag,ROUND(tblLog[[#This Row],[ЧасыКОплате]]*tblLog[[#This Row],[Ставка]],2),0)</f>
        <v>5175</v>
      </c>
      <c r="J80" s="45">
        <f>IFERROR(INDEX(tblRates[СтавкаСотруднику],MATCH(tblLog[[#This Row],[Сотрудник]],tblRates[Сотрудник],0)),0)</f>
        <v>1500</v>
      </c>
      <c r="K80" s="45">
        <f>ROUND(tblLog[[#This Row],[Часы]]*tblLog[[#This Row],[СтавкаЗП]],2)</f>
        <v>3015</v>
      </c>
    </row>
    <row r="81">
      <c r="A81" s="41" t="n">
        <v>46267</v>
      </c>
      <c r="B81" s="42" t="inlineStr">
        <is>
          <t>Варга Тео</t>
        </is>
      </c>
      <c r="C81" s="42" t="inlineStr">
        <is>
          <t>Поддержка</t>
        </is>
      </c>
      <c r="D81" s="42" t="inlineStr">
        <is>
          <t>Исправление ошибок</t>
        </is>
      </c>
      <c r="E81" s="43" t="n">
        <v>1.98</v>
      </c>
      <c r="F81" s="42" t="inlineStr">
        <is>
          <t>Да</t>
        </is>
      </c>
      <c r="G81" s="44">
        <f>IF(billInc&gt;0,ROUNDUP(tblLog[[#This Row],[Часы]]/billInc,0)*billInc,tblLog[[#This Row],[Часы]])</f>
        <v>2</v>
      </c>
      <c r="H81" s="45">
        <f>IFERROR(INDEX(tblRates[СтавкаКлиенту],MATCH(tblLog[[#This Row],[Сотрудник]],tblRates[Сотрудник],0)),0)</f>
        <v>2600</v>
      </c>
      <c r="I81" s="45">
        <f>IF(tblLog[[#This Row],[Оплачиваемо]]=yesFlag,ROUND(tblLog[[#This Row],[ЧасыКОплате]]*tblLog[[#This Row],[Ставка]],2),0)</f>
        <v>5200</v>
      </c>
      <c r="J81" s="45">
        <f>IFERROR(INDEX(tblRates[СтавкаСотруднику],MATCH(tblLog[[#This Row],[Сотрудник]],tblRates[Сотрудник],0)),0)</f>
        <v>1700</v>
      </c>
      <c r="K81" s="45">
        <f>ROUND(tblLog[[#This Row],[Часы]]*tblLog[[#This Row],[СтавкаЗП]],2)</f>
        <v>3366</v>
      </c>
    </row>
    <row r="82">
      <c r="A82" s="41" t="n">
        <v>46267</v>
      </c>
      <c r="B82" s="42" t="inlineStr">
        <is>
          <t>Варга Тео</t>
        </is>
      </c>
      <c r="C82" s="42" t="inlineStr">
        <is>
          <t>Клиентский портал</t>
        </is>
      </c>
      <c r="D82" s="42" t="inlineStr">
        <is>
          <t>Страница статуса заказа</t>
        </is>
      </c>
      <c r="E82" s="43" t="n">
        <v>0.71</v>
      </c>
      <c r="F82" s="42" t="inlineStr">
        <is>
          <t>Да</t>
        </is>
      </c>
      <c r="G82" s="44">
        <f>IF(billInc&gt;0,ROUNDUP(tblLog[[#This Row],[Часы]]/billInc,0)*billInc,tblLog[[#This Row],[Часы]])</f>
        <v>0.75</v>
      </c>
      <c r="H82" s="45">
        <f>IFERROR(INDEX(tblRates[СтавкаКлиенту],MATCH(tblLog[[#This Row],[Сотрудник]],tblRates[Сотрудник],0)),0)</f>
        <v>2600</v>
      </c>
      <c r="I82" s="45">
        <f>IF(tblLog[[#This Row],[Оплачиваемо]]=yesFlag,ROUND(tblLog[[#This Row],[ЧасыКОплате]]*tblLog[[#This Row],[Ставка]],2),0)</f>
        <v>1950</v>
      </c>
      <c r="J82" s="45">
        <f>IFERROR(INDEX(tblRates[СтавкаСотруднику],MATCH(tblLog[[#This Row],[Сотрудник]],tblRates[Сотрудник],0)),0)</f>
        <v>1700</v>
      </c>
      <c r="K82" s="45">
        <f>ROUND(tblLog[[#This Row],[Часы]]*tblLog[[#This Row],[СтавкаЗП]],2)</f>
        <v>1207</v>
      </c>
    </row>
    <row r="83">
      <c r="A83" s="41" t="n">
        <v>46267</v>
      </c>
      <c r="B83" s="42" t="inlineStr">
        <is>
          <t>Варга Тео</t>
        </is>
      </c>
      <c r="C83" s="42" t="inlineStr">
        <is>
          <t>Мобильное приложение для цеха</t>
        </is>
      </c>
      <c r="D83" s="42" t="inlineStr">
        <is>
          <t>Офлайн-синхронизация</t>
        </is>
      </c>
      <c r="E83" s="43" t="n">
        <v>1.92</v>
      </c>
      <c r="F83" s="42" t="inlineStr">
        <is>
          <t>Да</t>
        </is>
      </c>
      <c r="G83" s="44">
        <f>IF(billInc&gt;0,ROUNDUP(tblLog[[#This Row],[Часы]]/billInc,0)*billInc,tblLog[[#This Row],[Часы]])</f>
        <v>2</v>
      </c>
      <c r="H83" s="45">
        <f>IFERROR(INDEX(tblRates[СтавкаКлиенту],MATCH(tblLog[[#This Row],[Сотрудник]],tblRates[Сотрудник],0)),0)</f>
        <v>2600</v>
      </c>
      <c r="I83" s="45">
        <f>IF(tblLog[[#This Row],[Оплачиваемо]]=yesFlag,ROUND(tblLog[[#This Row],[ЧасыКОплате]]*tblLog[[#This Row],[Ставка]],2),0)</f>
        <v>5200</v>
      </c>
      <c r="J83" s="45">
        <f>IFERROR(INDEX(tblRates[СтавкаСотруднику],MATCH(tblLog[[#This Row],[Сотрудник]],tblRates[Сотрудник],0)),0)</f>
        <v>1700</v>
      </c>
      <c r="K83" s="45">
        <f>ROUND(tblLog[[#This Row],[Часы]]*tblLog[[#This Row],[СтавкаЗП]],2)</f>
        <v>3264</v>
      </c>
    </row>
    <row r="84">
      <c r="A84" s="41" t="n">
        <v>46267</v>
      </c>
      <c r="B84" s="42" t="inlineStr">
        <is>
          <t>Варга Тео</t>
        </is>
      </c>
      <c r="C84" s="42" t="inlineStr">
        <is>
          <t>Клиентский портал</t>
        </is>
      </c>
      <c r="D84" s="42" t="inlineStr">
        <is>
          <t>Страница статуса заказа</t>
        </is>
      </c>
      <c r="E84" s="43" t="n">
        <v>3.39</v>
      </c>
      <c r="F84" s="42" t="inlineStr">
        <is>
          <t>Да</t>
        </is>
      </c>
      <c r="G84" s="44">
        <f>IF(billInc&gt;0,ROUNDUP(tblLog[[#This Row],[Часы]]/billInc,0)*billInc,tblLog[[#This Row],[Часы]])</f>
        <v>3.5</v>
      </c>
      <c r="H84" s="45">
        <f>IFERROR(INDEX(tblRates[СтавкаКлиенту],MATCH(tblLog[[#This Row],[Сотрудник]],tblRates[Сотрудник],0)),0)</f>
        <v>2600</v>
      </c>
      <c r="I84" s="45">
        <f>IF(tblLog[[#This Row],[Оплачиваемо]]=yesFlag,ROUND(tblLog[[#This Row],[ЧасыКОплате]]*tblLog[[#This Row],[Ставка]],2),0)</f>
        <v>9100</v>
      </c>
      <c r="J84" s="45">
        <f>IFERROR(INDEX(tblRates[СтавкаСотруднику],MATCH(tblLog[[#This Row],[Сотрудник]],tblRates[Сотрудник],0)),0)</f>
        <v>1700</v>
      </c>
      <c r="K84" s="45">
        <f>ROUND(tblLog[[#This Row],[Часы]]*tblLog[[#This Row],[СтавкаЗП]],2)</f>
        <v>5763</v>
      </c>
    </row>
    <row r="85">
      <c r="A85" s="41" t="n">
        <v>46267</v>
      </c>
      <c r="B85" s="42" t="inlineStr">
        <is>
          <t>Окафор Инес</t>
        </is>
      </c>
      <c r="C85" s="42" t="inlineStr">
        <is>
          <t>Мобильное приложение для цеха</t>
        </is>
      </c>
      <c r="D85" s="42" t="inlineStr">
        <is>
          <t>Офлайн-синхронизация</t>
        </is>
      </c>
      <c r="E85" s="43" t="n">
        <v>2.01</v>
      </c>
      <c r="F85" s="42" t="inlineStr">
        <is>
          <t>Да</t>
        </is>
      </c>
      <c r="G85" s="44">
        <f>IF(billInc&gt;0,ROUNDUP(tblLog[[#This Row],[Часы]]/billInc,0)*billInc,tblLog[[#This Row],[Часы]])</f>
        <v>2.25</v>
      </c>
      <c r="H85" s="45">
        <f>IFERROR(INDEX(tblRates[СтавкаКлиенту],MATCH(tblLog[[#This Row],[Сотрудник]],tblRates[Сотрудник],0)),0)</f>
        <v>1900</v>
      </c>
      <c r="I85" s="45">
        <f>IF(tblLog[[#This Row],[Оплачиваемо]]=yesFlag,ROUND(tblLog[[#This Row],[ЧасыКОплате]]*tblLog[[#This Row],[Ставка]],2),0)</f>
        <v>4275</v>
      </c>
      <c r="J85" s="45">
        <f>IFERROR(INDEX(tblRates[СтавкаСотруднику],MATCH(tblLog[[#This Row],[Сотрудник]],tblRates[Сотрудник],0)),0)</f>
        <v>1200</v>
      </c>
      <c r="K85" s="45">
        <f>ROUND(tblLog[[#This Row],[Часы]]*tblLog[[#This Row],[СтавкаЗП]],2)</f>
        <v>2412</v>
      </c>
    </row>
    <row r="86">
      <c r="A86" s="41" t="n">
        <v>46267</v>
      </c>
      <c r="B86" s="42" t="inlineStr">
        <is>
          <t>Окафор Инес</t>
        </is>
      </c>
      <c r="C86" s="42" t="inlineStr">
        <is>
          <t>Клиентский портал</t>
        </is>
      </c>
      <c r="D86" s="42" t="inlineStr">
        <is>
          <t>Код-ревью</t>
        </is>
      </c>
      <c r="E86" s="43" t="n">
        <v>3.46</v>
      </c>
      <c r="F86" s="42" t="inlineStr">
        <is>
          <t>Да</t>
        </is>
      </c>
      <c r="G86" s="44">
        <f>IF(billInc&gt;0,ROUNDUP(tblLog[[#This Row],[Часы]]/billInc,0)*billInc,tblLog[[#This Row],[Часы]])</f>
        <v>3.5</v>
      </c>
      <c r="H86" s="45">
        <f>IFERROR(INDEX(tblRates[СтавкаКлиенту],MATCH(tblLog[[#This Row],[Сотрудник]],tblRates[Сотрудник],0)),0)</f>
        <v>1900</v>
      </c>
      <c r="I86" s="45">
        <f>IF(tblLog[[#This Row],[Оплачиваемо]]=yesFlag,ROUND(tblLog[[#This Row],[ЧасыКОплате]]*tblLog[[#This Row],[Ставка]],2),0)</f>
        <v>6650</v>
      </c>
      <c r="J86" s="45">
        <f>IFERROR(INDEX(tblRates[СтавкаСотруднику],MATCH(tblLog[[#This Row],[Сотрудник]],tblRates[Сотрудник],0)),0)</f>
        <v>1200</v>
      </c>
      <c r="K86" s="45">
        <f>ROUND(tblLog[[#This Row],[Часы]]*tblLog[[#This Row],[СтавкаЗП]],2)</f>
        <v>4152</v>
      </c>
    </row>
    <row r="87">
      <c r="A87" s="41" t="n">
        <v>46267</v>
      </c>
      <c r="B87" s="42" t="inlineStr">
        <is>
          <t>Окафор Инес</t>
        </is>
      </c>
      <c r="C87" s="42" t="inlineStr">
        <is>
          <t>Клиентский портал</t>
        </is>
      </c>
      <c r="D87" s="42" t="inlineStr">
        <is>
          <t>Авторизация и роли</t>
        </is>
      </c>
      <c r="E87" s="43" t="n">
        <v>1.53</v>
      </c>
      <c r="F87" s="42" t="inlineStr">
        <is>
          <t>Да</t>
        </is>
      </c>
      <c r="G87" s="44">
        <f>IF(billInc&gt;0,ROUNDUP(tblLog[[#This Row],[Часы]]/billInc,0)*billInc,tblLog[[#This Row],[Часы]])</f>
        <v>1.75</v>
      </c>
      <c r="H87" s="45">
        <f>IFERROR(INDEX(tblRates[СтавкаКлиенту],MATCH(tblLog[[#This Row],[Сотрудник]],tblRates[Сотрудник],0)),0)</f>
        <v>1900</v>
      </c>
      <c r="I87" s="45">
        <f>IF(tblLog[[#This Row],[Оплачиваемо]]=yesFlag,ROUND(tblLog[[#This Row],[ЧасыКОплате]]*tblLog[[#This Row],[Ставка]],2),0)</f>
        <v>3325</v>
      </c>
      <c r="J87" s="45">
        <f>IFERROR(INDEX(tblRates[СтавкаСотруднику],MATCH(tblLog[[#This Row],[Сотрудник]],tblRates[Сотрудник],0)),0)</f>
        <v>1200</v>
      </c>
      <c r="K87" s="45">
        <f>ROUND(tblLog[[#This Row],[Часы]]*tblLog[[#This Row],[СтавкаЗП]],2)</f>
        <v>1836</v>
      </c>
    </row>
    <row r="88">
      <c r="A88" s="41" t="n">
        <v>46267</v>
      </c>
      <c r="B88" s="42" t="inlineStr">
        <is>
          <t>Сольберг Мира</t>
        </is>
      </c>
      <c r="C88" s="42" t="inlineStr">
        <is>
          <t>Клиентский портал</t>
        </is>
      </c>
      <c r="D88" s="42" t="inlineStr">
        <is>
          <t>Выгрузка отчётов</t>
        </is>
      </c>
      <c r="E88" s="43" t="n">
        <v>2.96</v>
      </c>
      <c r="F88" s="42" t="inlineStr">
        <is>
          <t>Нет</t>
        </is>
      </c>
      <c r="G88" s="44">
        <f>IF(billInc&gt;0,ROUNDUP(tblLog[[#This Row],[Часы]]/billInc,0)*billInc,tblLog[[#This Row],[Часы]])</f>
        <v>3</v>
      </c>
      <c r="H88" s="45">
        <f>IFERROR(INDEX(tblRates[СтавкаКлиенту],MATCH(tblLog[[#This Row],[Сотрудник]],tblRates[Сотрудник],0)),0)</f>
        <v>3500</v>
      </c>
      <c r="I88" s="45">
        <f>IF(tblLog[[#This Row],[Оплачиваемо]]=yesFlag,ROUND(tblLog[[#This Row],[ЧасыКОплате]]*tblLog[[#This Row],[Ставка]],2),0)</f>
        <v>0</v>
      </c>
      <c r="J88" s="45">
        <f>IFERROR(INDEX(tblRates[СтавкаСотруднику],MATCH(tblLog[[#This Row],[Сотрудник]],tblRates[Сотрудник],0)),0)</f>
        <v>2400</v>
      </c>
      <c r="K88" s="45">
        <f>ROUND(tblLog[[#This Row],[Часы]]*tblLog[[#This Row],[СтавкаЗП]],2)</f>
        <v>7104</v>
      </c>
    </row>
    <row r="89">
      <c r="A89" s="41" t="n">
        <v>46267</v>
      </c>
      <c r="B89" s="42" t="inlineStr">
        <is>
          <t>Сольберг Мира</t>
        </is>
      </c>
      <c r="C89" s="42" t="inlineStr">
        <is>
          <t>Мобильное приложение для цеха</t>
        </is>
      </c>
      <c r="D89" s="42" t="inlineStr">
        <is>
          <t>Push-уведомления</t>
        </is>
      </c>
      <c r="E89" s="43" t="n">
        <v>3.41</v>
      </c>
      <c r="F89" s="42" t="inlineStr">
        <is>
          <t>Да</t>
        </is>
      </c>
      <c r="G89" s="44">
        <f>IF(billInc&gt;0,ROUNDUP(tblLog[[#This Row],[Часы]]/billInc,0)*billInc,tblLog[[#This Row],[Часы]])</f>
        <v>3.5</v>
      </c>
      <c r="H89" s="45">
        <f>IFERROR(INDEX(tblRates[СтавкаКлиенту],MATCH(tblLog[[#This Row],[Сотрудник]],tblRates[Сотрудник],0)),0)</f>
        <v>3500</v>
      </c>
      <c r="I89" s="45">
        <f>IF(tblLog[[#This Row],[Оплачиваемо]]=yesFlag,ROUND(tblLog[[#This Row],[ЧасыКОплате]]*tblLog[[#This Row],[Ставка]],2),0)</f>
        <v>12250</v>
      </c>
      <c r="J89" s="45">
        <f>IFERROR(INDEX(tblRates[СтавкаСотруднику],MATCH(tblLog[[#This Row],[Сотрудник]],tblRates[Сотрудник],0)),0)</f>
        <v>2400</v>
      </c>
      <c r="K89" s="45">
        <f>ROUND(tblLog[[#This Row],[Часы]]*tblLog[[#This Row],[СтавкаЗП]],2)</f>
        <v>8184</v>
      </c>
    </row>
    <row r="90">
      <c r="A90" s="41" t="n">
        <v>46267</v>
      </c>
      <c r="B90" s="42" t="inlineStr">
        <is>
          <t>Сольберг Мира</t>
        </is>
      </c>
      <c r="C90" s="42" t="inlineStr">
        <is>
          <t>Поддержка</t>
        </is>
      </c>
      <c r="D90" s="42" t="inlineStr">
        <is>
          <t>Обновление сервера</t>
        </is>
      </c>
      <c r="E90" s="43" t="n">
        <v>1.63</v>
      </c>
      <c r="F90" s="42" t="inlineStr">
        <is>
          <t>Нет</t>
        </is>
      </c>
      <c r="G90" s="44">
        <f>IF(billInc&gt;0,ROUNDUP(tblLog[[#This Row],[Часы]]/billInc,0)*billInc,tblLog[[#This Row],[Часы]])</f>
        <v>1.75</v>
      </c>
      <c r="H90" s="45">
        <f>IFERROR(INDEX(tblRates[СтавкаКлиенту],MATCH(tblLog[[#This Row],[Сотрудник]],tblRates[Сотрудник],0)),0)</f>
        <v>3500</v>
      </c>
      <c r="I90" s="45">
        <f>IF(tblLog[[#This Row],[Оплачиваемо]]=yesFlag,ROUND(tblLog[[#This Row],[ЧасыКОплате]]*tblLog[[#This Row],[Ставка]],2),0)</f>
        <v>0</v>
      </c>
      <c r="J90" s="45">
        <f>IFERROR(INDEX(tblRates[СтавкаСотруднику],MATCH(tblLog[[#This Row],[Сотрудник]],tblRates[Сотрудник],0)),0)</f>
        <v>2400</v>
      </c>
      <c r="K90" s="45">
        <f>ROUND(tblLog[[#This Row],[Часы]]*tblLog[[#This Row],[СтавкаЗП]],2)</f>
        <v>3912</v>
      </c>
    </row>
    <row r="91">
      <c r="A91" s="41" t="n">
        <v>46268</v>
      </c>
      <c r="B91" s="42" t="inlineStr">
        <is>
          <t>Бреннер Лука</t>
        </is>
      </c>
      <c r="C91" s="42" t="inlineStr">
        <is>
          <t>Клиентский портал</t>
        </is>
      </c>
      <c r="D91" s="42" t="inlineStr">
        <is>
          <t>Авторизация и роли</t>
        </is>
      </c>
      <c r="E91" s="43" t="n">
        <v>2.44</v>
      </c>
      <c r="F91" s="42" t="inlineStr">
        <is>
          <t>Да</t>
        </is>
      </c>
      <c r="G91" s="44">
        <f>IF(billInc&gt;0,ROUNDUP(tblLog[[#This Row],[Часы]]/billInc,0)*billInc,tblLog[[#This Row],[Часы]])</f>
        <v>2.5</v>
      </c>
      <c r="H91" s="45">
        <f>IFERROR(INDEX(tblRates[СтавкаКлиенту],MATCH(tblLog[[#This Row],[Сотрудник]],tblRates[Сотрудник],0)),0)</f>
        <v>2300</v>
      </c>
      <c r="I91" s="45">
        <f>IF(tblLog[[#This Row],[Оплачиваемо]]=yesFlag,ROUND(tblLog[[#This Row],[ЧасыКОплате]]*tblLog[[#This Row],[Ставка]],2),0)</f>
        <v>5750</v>
      </c>
      <c r="J91" s="45">
        <f>IFERROR(INDEX(tblRates[СтавкаСотруднику],MATCH(tblLog[[#This Row],[Сотрудник]],tblRates[Сотрудник],0)),0)</f>
        <v>1500</v>
      </c>
      <c r="K91" s="45">
        <f>ROUND(tblLog[[#This Row],[Часы]]*tblLog[[#This Row],[СтавкаЗП]],2)</f>
        <v>3660</v>
      </c>
    </row>
    <row r="92">
      <c r="A92" s="41" t="n">
        <v>46268</v>
      </c>
      <c r="B92" s="42" t="inlineStr">
        <is>
          <t>Бреннер Лука</t>
        </is>
      </c>
      <c r="C92" s="42" t="inlineStr">
        <is>
          <t>Мобильное приложение для цеха</t>
        </is>
      </c>
      <c r="D92" s="42" t="inlineStr">
        <is>
          <t>Сканирование штрихкодов</t>
        </is>
      </c>
      <c r="E92" s="43" t="n">
        <v>0.96</v>
      </c>
      <c r="F92" s="42" t="inlineStr">
        <is>
          <t>Да</t>
        </is>
      </c>
      <c r="G92" s="44">
        <f>IF(billInc&gt;0,ROUNDUP(tblLog[[#This Row],[Часы]]/billInc,0)*billInc,tblLog[[#This Row],[Часы]])</f>
        <v>1</v>
      </c>
      <c r="H92" s="45">
        <f>IFERROR(INDEX(tblRates[СтавкаКлиенту],MATCH(tblLog[[#This Row],[Сотрудник]],tblRates[Сотрудник],0)),0)</f>
        <v>2300</v>
      </c>
      <c r="I92" s="45">
        <f>IF(tblLog[[#This Row],[Оплачиваемо]]=yesFlag,ROUND(tblLog[[#This Row],[ЧасыКОплате]]*tblLog[[#This Row],[Ставка]],2),0)</f>
        <v>2300</v>
      </c>
      <c r="J92" s="45">
        <f>IFERROR(INDEX(tblRates[СтавкаСотруднику],MATCH(tblLog[[#This Row],[Сотрудник]],tblRates[Сотрудник],0)),0)</f>
        <v>1500</v>
      </c>
      <c r="K92" s="45">
        <f>ROUND(tblLog[[#This Row],[Часы]]*tblLog[[#This Row],[СтавкаЗП]],2)</f>
        <v>1440</v>
      </c>
    </row>
    <row r="93">
      <c r="A93" s="41" t="n">
        <v>46268</v>
      </c>
      <c r="B93" s="42" t="inlineStr">
        <is>
          <t>Бреннер Лука</t>
        </is>
      </c>
      <c r="C93" s="42" t="inlineStr">
        <is>
          <t>Клиентский портал</t>
        </is>
      </c>
      <c r="D93" s="42" t="inlineStr">
        <is>
          <t>Код-ревью</t>
        </is>
      </c>
      <c r="E93" s="43" t="n">
        <v>1.5</v>
      </c>
      <c r="F93" s="42" t="inlineStr">
        <is>
          <t>Да</t>
        </is>
      </c>
      <c r="G93" s="44">
        <f>IF(billInc&gt;0,ROUNDUP(tblLog[[#This Row],[Часы]]/billInc,0)*billInc,tblLog[[#This Row],[Часы]])</f>
        <v>1.5</v>
      </c>
      <c r="H93" s="45">
        <f>IFERROR(INDEX(tblRates[СтавкаКлиенту],MATCH(tblLog[[#This Row],[Сотрудник]],tblRates[Сотрудник],0)),0)</f>
        <v>2300</v>
      </c>
      <c r="I93" s="45">
        <f>IF(tblLog[[#This Row],[Оплачиваемо]]=yesFlag,ROUND(tblLog[[#This Row],[ЧасыКОплате]]*tblLog[[#This Row],[Ставка]],2),0)</f>
        <v>3450</v>
      </c>
      <c r="J93" s="45">
        <f>IFERROR(INDEX(tblRates[СтавкаСотруднику],MATCH(tblLog[[#This Row],[Сотрудник]],tblRates[Сотрудник],0)),0)</f>
        <v>1500</v>
      </c>
      <c r="K93" s="45">
        <f>ROUND(tblLog[[#This Row],[Часы]]*tblLog[[#This Row],[СтавкаЗП]],2)</f>
        <v>2250</v>
      </c>
    </row>
    <row r="94">
      <c r="A94" s="41" t="n">
        <v>46268</v>
      </c>
      <c r="B94" s="42" t="inlineStr">
        <is>
          <t>Бреннер Лука</t>
        </is>
      </c>
      <c r="C94" s="42" t="inlineStr">
        <is>
          <t>Мобильное приложение для цеха</t>
        </is>
      </c>
      <c r="D94" s="42" t="inlineStr">
        <is>
          <t>Офлайн-синхронизация</t>
        </is>
      </c>
      <c r="E94" s="43" t="n">
        <v>1.74</v>
      </c>
      <c r="F94" s="42" t="inlineStr">
        <is>
          <t>Да</t>
        </is>
      </c>
      <c r="G94" s="44">
        <f>IF(billInc&gt;0,ROUNDUP(tblLog[[#This Row],[Часы]]/billInc,0)*billInc,tblLog[[#This Row],[Часы]])</f>
        <v>1.75</v>
      </c>
      <c r="H94" s="45">
        <f>IFERROR(INDEX(tblRates[СтавкаКлиенту],MATCH(tblLog[[#This Row],[Сотрудник]],tblRates[Сотрудник],0)),0)</f>
        <v>2300</v>
      </c>
      <c r="I94" s="45">
        <f>IF(tblLog[[#This Row],[Оплачиваемо]]=yesFlag,ROUND(tblLog[[#This Row],[ЧасыКОплате]]*tblLog[[#This Row],[Ставка]],2),0)</f>
        <v>4025</v>
      </c>
      <c r="J94" s="45">
        <f>IFERROR(INDEX(tblRates[СтавкаСотруднику],MATCH(tblLog[[#This Row],[Сотрудник]],tblRates[Сотрудник],0)),0)</f>
        <v>1500</v>
      </c>
      <c r="K94" s="45">
        <f>ROUND(tblLog[[#This Row],[Часы]]*tblLog[[#This Row],[СтавкаЗП]],2)</f>
        <v>2610</v>
      </c>
    </row>
    <row r="95">
      <c r="A95" s="41" t="n">
        <v>46268</v>
      </c>
      <c r="B95" s="42" t="inlineStr">
        <is>
          <t>Бреннер Лука</t>
        </is>
      </c>
      <c r="C95" s="42" t="inlineStr">
        <is>
          <t>Клиентский портал</t>
        </is>
      </c>
      <c r="D95" s="42" t="inlineStr">
        <is>
          <t>Авторизация и роли</t>
        </is>
      </c>
      <c r="E95" s="43" t="n">
        <v>1.36</v>
      </c>
      <c r="F95" s="42" t="inlineStr">
        <is>
          <t>Да</t>
        </is>
      </c>
      <c r="G95" s="44">
        <f>IF(billInc&gt;0,ROUNDUP(tblLog[[#This Row],[Часы]]/billInc,0)*billInc,tblLog[[#This Row],[Часы]])</f>
        <v>1.5</v>
      </c>
      <c r="H95" s="45">
        <f>IFERROR(INDEX(tblRates[СтавкаКлиенту],MATCH(tblLog[[#This Row],[Сотрудник]],tblRates[Сотрудник],0)),0)</f>
        <v>2300</v>
      </c>
      <c r="I95" s="45">
        <f>IF(tblLog[[#This Row],[Оплачиваемо]]=yesFlag,ROUND(tblLog[[#This Row],[ЧасыКОплате]]*tblLog[[#This Row],[Ставка]],2),0)</f>
        <v>3450</v>
      </c>
      <c r="J95" s="45">
        <f>IFERROR(INDEX(tblRates[СтавкаСотруднику],MATCH(tblLog[[#This Row],[Сотрудник]],tblRates[Сотрудник],0)),0)</f>
        <v>1500</v>
      </c>
      <c r="K95" s="45">
        <f>ROUND(tblLog[[#This Row],[Часы]]*tblLog[[#This Row],[СтавкаЗП]],2)</f>
        <v>2040</v>
      </c>
    </row>
    <row r="96">
      <c r="A96" s="41" t="n">
        <v>46268</v>
      </c>
      <c r="B96" s="42" t="inlineStr">
        <is>
          <t>Варга Тео</t>
        </is>
      </c>
      <c r="C96" s="42" t="inlineStr">
        <is>
          <t>Мобильное приложение для цеха</t>
        </is>
      </c>
      <c r="D96" s="42" t="inlineStr">
        <is>
          <t>Сканирование штрихкодов</t>
        </is>
      </c>
      <c r="E96" s="43" t="n">
        <v>3.5</v>
      </c>
      <c r="F96" s="42" t="inlineStr">
        <is>
          <t>Да</t>
        </is>
      </c>
      <c r="G96" s="44">
        <f>IF(billInc&gt;0,ROUNDUP(tblLog[[#This Row],[Часы]]/billInc,0)*billInc,tblLog[[#This Row],[Часы]])</f>
        <v>3.5</v>
      </c>
      <c r="H96" s="45">
        <f>IFERROR(INDEX(tblRates[СтавкаКлиенту],MATCH(tblLog[[#This Row],[Сотрудник]],tblRates[Сотрудник],0)),0)</f>
        <v>2600</v>
      </c>
      <c r="I96" s="45">
        <f>IF(tblLog[[#This Row],[Оплачиваемо]]=yesFlag,ROUND(tblLog[[#This Row],[ЧасыКОплате]]*tblLog[[#This Row],[Ставка]],2),0)</f>
        <v>9100</v>
      </c>
      <c r="J96" s="45">
        <f>IFERROR(INDEX(tblRates[СтавкаСотруднику],MATCH(tblLog[[#This Row],[Сотрудник]],tblRates[Сотрудник],0)),0)</f>
        <v>1700</v>
      </c>
      <c r="K96" s="45">
        <f>ROUND(tblLog[[#This Row],[Часы]]*tblLog[[#This Row],[СтавкаЗП]],2)</f>
        <v>5950</v>
      </c>
    </row>
    <row r="97">
      <c r="A97" s="41" t="n">
        <v>46268</v>
      </c>
      <c r="B97" s="42" t="inlineStr">
        <is>
          <t>Варга Тео</t>
        </is>
      </c>
      <c r="C97" s="42" t="inlineStr">
        <is>
          <t>Клиентский портал</t>
        </is>
      </c>
      <c r="D97" s="42" t="inlineStr">
        <is>
          <t>Страница статуса заказа</t>
        </is>
      </c>
      <c r="E97" s="43" t="n">
        <v>3.78</v>
      </c>
      <c r="F97" s="42" t="inlineStr">
        <is>
          <t>Да</t>
        </is>
      </c>
      <c r="G97" s="44">
        <f>IF(billInc&gt;0,ROUNDUP(tblLog[[#This Row],[Часы]]/billInc,0)*billInc,tblLog[[#This Row],[Часы]])</f>
        <v>4</v>
      </c>
      <c r="H97" s="45">
        <f>IFERROR(INDEX(tblRates[СтавкаКлиенту],MATCH(tblLog[[#This Row],[Сотрудник]],tblRates[Сотрудник],0)),0)</f>
        <v>2600</v>
      </c>
      <c r="I97" s="45">
        <f>IF(tblLog[[#This Row],[Оплачиваемо]]=yesFlag,ROUND(tblLog[[#This Row],[ЧасыКОплате]]*tblLog[[#This Row],[Ставка]],2),0)</f>
        <v>10400</v>
      </c>
      <c r="J97" s="45">
        <f>IFERROR(INDEX(tblRates[СтавкаСотруднику],MATCH(tblLog[[#This Row],[Сотрудник]],tblRates[Сотрудник],0)),0)</f>
        <v>1700</v>
      </c>
      <c r="K97" s="45">
        <f>ROUND(tblLog[[#This Row],[Часы]]*tblLog[[#This Row],[СтавкаЗП]],2)</f>
        <v>6426</v>
      </c>
    </row>
    <row r="98">
      <c r="A98" s="41" t="n">
        <v>46268</v>
      </c>
      <c r="B98" s="42" t="inlineStr">
        <is>
          <t>Варга Тео</t>
        </is>
      </c>
      <c r="C98" s="42" t="inlineStr">
        <is>
          <t>Мобильное приложение для цеха</t>
        </is>
      </c>
      <c r="D98" s="42" t="inlineStr">
        <is>
          <t>Сканирование штрихкодов</t>
        </is>
      </c>
      <c r="E98" s="43" t="n">
        <v>1.22</v>
      </c>
      <c r="F98" s="42" t="inlineStr">
        <is>
          <t>Да</t>
        </is>
      </c>
      <c r="G98" s="44">
        <f>IF(billInc&gt;0,ROUNDUP(tblLog[[#This Row],[Часы]]/billInc,0)*billInc,tblLog[[#This Row],[Часы]])</f>
        <v>1.25</v>
      </c>
      <c r="H98" s="45">
        <f>IFERROR(INDEX(tblRates[СтавкаКлиенту],MATCH(tblLog[[#This Row],[Сотрудник]],tblRates[Сотрудник],0)),0)</f>
        <v>2600</v>
      </c>
      <c r="I98" s="45">
        <f>IF(tblLog[[#This Row],[Оплачиваемо]]=yesFlag,ROUND(tblLog[[#This Row],[ЧасыКОплате]]*tblLog[[#This Row],[Ставка]],2),0)</f>
        <v>3250</v>
      </c>
      <c r="J98" s="45">
        <f>IFERROR(INDEX(tblRates[СтавкаСотруднику],MATCH(tblLog[[#This Row],[Сотрудник]],tblRates[Сотрудник],0)),0)</f>
        <v>1700</v>
      </c>
      <c r="K98" s="45">
        <f>ROUND(tblLog[[#This Row],[Часы]]*tblLog[[#This Row],[СтавкаЗП]],2)</f>
        <v>2074</v>
      </c>
    </row>
    <row r="99">
      <c r="A99" s="41" t="n">
        <v>46268</v>
      </c>
      <c r="B99" s="42" t="inlineStr">
        <is>
          <t>Окафор Инес</t>
        </is>
      </c>
      <c r="C99" s="42" t="inlineStr">
        <is>
          <t>Клиентский портал</t>
        </is>
      </c>
      <c r="D99" s="42" t="inlineStr">
        <is>
          <t>Страница статуса заказа</t>
        </is>
      </c>
      <c r="E99" s="43" t="n">
        <v>2.87</v>
      </c>
      <c r="F99" s="42" t="inlineStr">
        <is>
          <t>Да</t>
        </is>
      </c>
      <c r="G99" s="44">
        <f>IF(billInc&gt;0,ROUNDUP(tblLog[[#This Row],[Часы]]/billInc,0)*billInc,tblLog[[#This Row],[Часы]])</f>
        <v>3</v>
      </c>
      <c r="H99" s="45">
        <f>IFERROR(INDEX(tblRates[СтавкаКлиенту],MATCH(tblLog[[#This Row],[Сотрудник]],tblRates[Сотрудник],0)),0)</f>
        <v>1900</v>
      </c>
      <c r="I99" s="45">
        <f>IF(tblLog[[#This Row],[Оплачиваемо]]=yesFlag,ROUND(tblLog[[#This Row],[ЧасыКОплате]]*tblLog[[#This Row],[Ставка]],2),0)</f>
        <v>5700</v>
      </c>
      <c r="J99" s="45">
        <f>IFERROR(INDEX(tblRates[СтавкаСотруднику],MATCH(tblLog[[#This Row],[Сотрудник]],tblRates[Сотрудник],0)),0)</f>
        <v>1200</v>
      </c>
      <c r="K99" s="45">
        <f>ROUND(tblLog[[#This Row],[Часы]]*tblLog[[#This Row],[СтавкаЗП]],2)</f>
        <v>3444</v>
      </c>
    </row>
    <row r="100">
      <c r="A100" s="41" t="n">
        <v>46268</v>
      </c>
      <c r="B100" s="42" t="inlineStr">
        <is>
          <t>Окафор Инес</t>
        </is>
      </c>
      <c r="C100" s="42" t="inlineStr">
        <is>
          <t>Поддержка</t>
        </is>
      </c>
      <c r="D100" s="42" t="inlineStr">
        <is>
          <t>Исправление ошибок</t>
        </is>
      </c>
      <c r="E100" s="43" t="n">
        <v>2.16</v>
      </c>
      <c r="F100" s="42" t="inlineStr">
        <is>
          <t>Да</t>
        </is>
      </c>
      <c r="G100" s="44">
        <f>IF(billInc&gt;0,ROUNDUP(tblLog[[#This Row],[Часы]]/billInc,0)*billInc,tblLog[[#This Row],[Часы]])</f>
        <v>2.25</v>
      </c>
      <c r="H100" s="45">
        <f>IFERROR(INDEX(tblRates[СтавкаКлиенту],MATCH(tblLog[[#This Row],[Сотрудник]],tblRates[Сотрудник],0)),0)</f>
        <v>1900</v>
      </c>
      <c r="I100" s="45">
        <f>IF(tblLog[[#This Row],[Оплачиваемо]]=yesFlag,ROUND(tblLog[[#This Row],[ЧасыКОплате]]*tblLog[[#This Row],[Ставка]],2),0)</f>
        <v>4275</v>
      </c>
      <c r="J100" s="45">
        <f>IFERROR(INDEX(tblRates[СтавкаСотруднику],MATCH(tblLog[[#This Row],[Сотрудник]],tblRates[Сотрудник],0)),0)</f>
        <v>1200</v>
      </c>
      <c r="K100" s="45">
        <f>ROUND(tblLog[[#This Row],[Часы]]*tblLog[[#This Row],[СтавкаЗП]],2)</f>
        <v>2592</v>
      </c>
    </row>
    <row r="101">
      <c r="A101" s="41" t="n">
        <v>46268</v>
      </c>
      <c r="B101" s="42" t="inlineStr">
        <is>
          <t>Окафор Инес</t>
        </is>
      </c>
      <c r="C101" s="42" t="inlineStr">
        <is>
          <t>Клиентский портал</t>
        </is>
      </c>
      <c r="D101" s="42" t="inlineStr">
        <is>
          <t>Код-ревью</t>
        </is>
      </c>
      <c r="E101" s="43" t="n">
        <v>1.31</v>
      </c>
      <c r="F101" s="42" t="inlineStr">
        <is>
          <t>Да</t>
        </is>
      </c>
      <c r="G101" s="44">
        <f>IF(billInc&gt;0,ROUNDUP(tblLog[[#This Row],[Часы]]/billInc,0)*billInc,tblLog[[#This Row],[Часы]])</f>
        <v>1.5</v>
      </c>
      <c r="H101" s="45">
        <f>IFERROR(INDEX(tblRates[СтавкаКлиенту],MATCH(tblLog[[#This Row],[Сотрудник]],tblRates[Сотрудник],0)),0)</f>
        <v>1900</v>
      </c>
      <c r="I101" s="45">
        <f>IF(tblLog[[#This Row],[Оплачиваемо]]=yesFlag,ROUND(tblLog[[#This Row],[ЧасыКОплате]]*tblLog[[#This Row],[Ставка]],2),0)</f>
        <v>2850</v>
      </c>
      <c r="J101" s="45">
        <f>IFERROR(INDEX(tblRates[СтавкаСотруднику],MATCH(tblLog[[#This Row],[Сотрудник]],tblRates[Сотрудник],0)),0)</f>
        <v>1200</v>
      </c>
      <c r="K101" s="45">
        <f>ROUND(tblLog[[#This Row],[Часы]]*tblLog[[#This Row],[СтавкаЗП]],2)</f>
        <v>1572</v>
      </c>
    </row>
    <row r="102">
      <c r="A102" s="41" t="n">
        <v>46268</v>
      </c>
      <c r="B102" s="42" t="inlineStr">
        <is>
          <t>Окафор Инес</t>
        </is>
      </c>
      <c r="C102" s="42" t="inlineStr">
        <is>
          <t>Клиентский портал</t>
        </is>
      </c>
      <c r="D102" s="42" t="inlineStr">
        <is>
          <t>Авторизация и роли</t>
        </is>
      </c>
      <c r="E102" s="43" t="n">
        <v>1.62</v>
      </c>
      <c r="F102" s="42" t="inlineStr">
        <is>
          <t>Да</t>
        </is>
      </c>
      <c r="G102" s="44">
        <f>IF(billInc&gt;0,ROUNDUP(tblLog[[#This Row],[Часы]]/billInc,0)*billInc,tblLog[[#This Row],[Часы]])</f>
        <v>1.75</v>
      </c>
      <c r="H102" s="45">
        <f>IFERROR(INDEX(tblRates[СтавкаКлиенту],MATCH(tblLog[[#This Row],[Сотрудник]],tblRates[Сотрудник],0)),0)</f>
        <v>1900</v>
      </c>
      <c r="I102" s="45">
        <f>IF(tblLog[[#This Row],[Оплачиваемо]]=yesFlag,ROUND(tblLog[[#This Row],[ЧасыКОплате]]*tblLog[[#This Row],[Ставка]],2),0)</f>
        <v>3325</v>
      </c>
      <c r="J102" s="45">
        <f>IFERROR(INDEX(tblRates[СтавкаСотруднику],MATCH(tblLog[[#This Row],[Сотрудник]],tblRates[Сотрудник],0)),0)</f>
        <v>1200</v>
      </c>
      <c r="K102" s="45">
        <f>ROUND(tblLog[[#This Row],[Часы]]*tblLog[[#This Row],[СтавкаЗП]],2)</f>
        <v>1944</v>
      </c>
    </row>
    <row r="103">
      <c r="A103" s="41" t="n">
        <v>46268</v>
      </c>
      <c r="B103" s="42" t="inlineStr">
        <is>
          <t>Окафор Инес</t>
        </is>
      </c>
      <c r="C103" s="42" t="inlineStr">
        <is>
          <t>Мобильное приложение для цеха</t>
        </is>
      </c>
      <c r="D103" s="42" t="inlineStr">
        <is>
          <t>Офлайн-синхронизация</t>
        </is>
      </c>
      <c r="E103" s="43" t="n">
        <v>0.54</v>
      </c>
      <c r="F103" s="42" t="inlineStr">
        <is>
          <t>Да</t>
        </is>
      </c>
      <c r="G103" s="44">
        <f>IF(billInc&gt;0,ROUNDUP(tblLog[[#This Row],[Часы]]/billInc,0)*billInc,tblLog[[#This Row],[Часы]])</f>
        <v>0.75</v>
      </c>
      <c r="H103" s="45">
        <f>IFERROR(INDEX(tblRates[СтавкаКлиенту],MATCH(tblLog[[#This Row],[Сотрудник]],tblRates[Сотрудник],0)),0)</f>
        <v>1900</v>
      </c>
      <c r="I103" s="45">
        <f>IF(tblLog[[#This Row],[Оплачиваемо]]=yesFlag,ROUND(tblLog[[#This Row],[ЧасыКОплате]]*tblLog[[#This Row],[Ставка]],2),0)</f>
        <v>1425</v>
      </c>
      <c r="J103" s="45">
        <f>IFERROR(INDEX(tblRates[СтавкаСотруднику],MATCH(tblLog[[#This Row],[Сотрудник]],tblRates[Сотрудник],0)),0)</f>
        <v>1200</v>
      </c>
      <c r="K103" s="45">
        <f>ROUND(tblLog[[#This Row],[Часы]]*tblLog[[#This Row],[СтавкаЗП]],2)</f>
        <v>648</v>
      </c>
    </row>
    <row r="104">
      <c r="A104" s="41" t="n">
        <v>46268</v>
      </c>
      <c r="B104" s="42" t="inlineStr">
        <is>
          <t>Сольберг Мира</t>
        </is>
      </c>
      <c r="C104" s="42" t="inlineStr">
        <is>
          <t>Клиентский портал</t>
        </is>
      </c>
      <c r="D104" s="42" t="inlineStr">
        <is>
          <t>Выгрузка отчётов</t>
        </is>
      </c>
      <c r="E104" s="43" t="n">
        <v>0.8100000000000001</v>
      </c>
      <c r="F104" s="42" t="inlineStr">
        <is>
          <t>Да</t>
        </is>
      </c>
      <c r="G104" s="44">
        <f>IF(billInc&gt;0,ROUNDUP(tblLog[[#This Row],[Часы]]/billInc,0)*billInc,tblLog[[#This Row],[Часы]])</f>
        <v>1</v>
      </c>
      <c r="H104" s="45">
        <f>IFERROR(INDEX(tblRates[СтавкаКлиенту],MATCH(tblLog[[#This Row],[Сотрудник]],tblRates[Сотрудник],0)),0)</f>
        <v>3500</v>
      </c>
      <c r="I104" s="45">
        <f>IF(tblLog[[#This Row],[Оплачиваемо]]=yesFlag,ROUND(tblLog[[#This Row],[ЧасыКОплате]]*tblLog[[#This Row],[Ставка]],2),0)</f>
        <v>3500</v>
      </c>
      <c r="J104" s="45">
        <f>IFERROR(INDEX(tblRates[СтавкаСотруднику],MATCH(tblLog[[#This Row],[Сотрудник]],tblRates[Сотрудник],0)),0)</f>
        <v>2400</v>
      </c>
      <c r="K104" s="45">
        <f>ROUND(tblLog[[#This Row],[Часы]]*tblLog[[#This Row],[СтавкаЗП]],2)</f>
        <v>1944</v>
      </c>
    </row>
    <row r="105">
      <c r="A105" s="41" t="n">
        <v>46268</v>
      </c>
      <c r="B105" s="42" t="inlineStr">
        <is>
          <t>Сольберг Мира</t>
        </is>
      </c>
      <c r="C105" s="42" t="inlineStr">
        <is>
          <t>Поддержка</t>
        </is>
      </c>
      <c r="D105" s="42" t="inlineStr">
        <is>
          <t>Обновление сервера</t>
        </is>
      </c>
      <c r="E105" s="43" t="n">
        <v>0.4</v>
      </c>
      <c r="F105" s="42" t="inlineStr">
        <is>
          <t>Да</t>
        </is>
      </c>
      <c r="G105" s="44">
        <f>IF(billInc&gt;0,ROUNDUP(tblLog[[#This Row],[Часы]]/billInc,0)*billInc,tblLog[[#This Row],[Часы]])</f>
        <v>0.5</v>
      </c>
      <c r="H105" s="45">
        <f>IFERROR(INDEX(tblRates[СтавкаКлиенту],MATCH(tblLog[[#This Row],[Сотрудник]],tblRates[Сотрудник],0)),0)</f>
        <v>3500</v>
      </c>
      <c r="I105" s="45">
        <f>IF(tblLog[[#This Row],[Оплачиваемо]]=yesFlag,ROUND(tblLog[[#This Row],[ЧасыКОплате]]*tblLog[[#This Row],[Ставка]],2),0)</f>
        <v>1750</v>
      </c>
      <c r="J105" s="45">
        <f>IFERROR(INDEX(tblRates[СтавкаСотруднику],MATCH(tblLog[[#This Row],[Сотрудник]],tblRates[Сотрудник],0)),0)</f>
        <v>2400</v>
      </c>
      <c r="K105" s="45">
        <f>ROUND(tblLog[[#This Row],[Часы]]*tblLog[[#This Row],[СтавкаЗП]],2)</f>
        <v>960</v>
      </c>
    </row>
    <row r="106">
      <c r="A106" s="41" t="n">
        <v>46268</v>
      </c>
      <c r="B106" s="42" t="inlineStr">
        <is>
          <t>Сольберг Мира</t>
        </is>
      </c>
      <c r="C106" s="42" t="inlineStr">
        <is>
          <t>Мобильное приложение для цеха</t>
        </is>
      </c>
      <c r="D106" s="42" t="inlineStr">
        <is>
          <t>Сканирование штрихкодов</t>
        </is>
      </c>
      <c r="E106" s="43" t="n">
        <v>0.57</v>
      </c>
      <c r="F106" s="42" t="inlineStr">
        <is>
          <t>Да</t>
        </is>
      </c>
      <c r="G106" s="44">
        <f>IF(billInc&gt;0,ROUNDUP(tblLog[[#This Row],[Часы]]/billInc,0)*billInc,tblLog[[#This Row],[Часы]])</f>
        <v>0.75</v>
      </c>
      <c r="H106" s="45">
        <f>IFERROR(INDEX(tblRates[СтавкаКлиенту],MATCH(tblLog[[#This Row],[Сотрудник]],tblRates[Сотрудник],0)),0)</f>
        <v>3500</v>
      </c>
      <c r="I106" s="45">
        <f>IF(tblLog[[#This Row],[Оплачиваемо]]=yesFlag,ROUND(tblLog[[#This Row],[ЧасыКОплате]]*tblLog[[#This Row],[Ставка]],2),0)</f>
        <v>2625</v>
      </c>
      <c r="J106" s="45">
        <f>IFERROR(INDEX(tblRates[СтавкаСотруднику],MATCH(tblLog[[#This Row],[Сотрудник]],tblRates[Сотрудник],0)),0)</f>
        <v>2400</v>
      </c>
      <c r="K106" s="45">
        <f>ROUND(tblLog[[#This Row],[Часы]]*tblLog[[#This Row],[СтавкаЗП]],2)</f>
        <v>1368</v>
      </c>
    </row>
    <row r="107">
      <c r="A107" s="41" t="n">
        <v>46268</v>
      </c>
      <c r="B107" s="42" t="inlineStr">
        <is>
          <t>Сольберг Мира</t>
        </is>
      </c>
      <c r="C107" s="42" t="inlineStr">
        <is>
          <t>Клиентский портал</t>
        </is>
      </c>
      <c r="D107" s="42" t="inlineStr">
        <is>
          <t>Выгрузка отчётов</t>
        </is>
      </c>
      <c r="E107" s="43" t="n">
        <v>1.42</v>
      </c>
      <c r="F107" s="42" t="inlineStr">
        <is>
          <t>Да</t>
        </is>
      </c>
      <c r="G107" s="44">
        <f>IF(billInc&gt;0,ROUNDUP(tblLog[[#This Row],[Часы]]/billInc,0)*billInc,tblLog[[#This Row],[Часы]])</f>
        <v>1.5</v>
      </c>
      <c r="H107" s="45">
        <f>IFERROR(INDEX(tblRates[СтавкаКлиенту],MATCH(tblLog[[#This Row],[Сотрудник]],tblRates[Сотрудник],0)),0)</f>
        <v>3500</v>
      </c>
      <c r="I107" s="45">
        <f>IF(tblLog[[#This Row],[Оплачиваемо]]=yesFlag,ROUND(tblLog[[#This Row],[ЧасыКОплате]]*tblLog[[#This Row],[Ставка]],2),0)</f>
        <v>5250</v>
      </c>
      <c r="J107" s="45">
        <f>IFERROR(INDEX(tblRates[СтавкаСотруднику],MATCH(tblLog[[#This Row],[Сотрудник]],tblRates[Сотрудник],0)),0)</f>
        <v>2400</v>
      </c>
      <c r="K107" s="45">
        <f>ROUND(tblLog[[#This Row],[Часы]]*tblLog[[#This Row],[СтавкаЗП]],2)</f>
        <v>3408</v>
      </c>
    </row>
    <row r="108">
      <c r="A108" s="41" t="n">
        <v>46268</v>
      </c>
      <c r="B108" s="42" t="inlineStr">
        <is>
          <t>Сольберг Мира</t>
        </is>
      </c>
      <c r="C108" s="42" t="inlineStr">
        <is>
          <t>Поддержка</t>
        </is>
      </c>
      <c r="D108" s="42" t="inlineStr">
        <is>
          <t>Исправление ошибок</t>
        </is>
      </c>
      <c r="E108" s="43" t="n">
        <v>1.46</v>
      </c>
      <c r="F108" s="42" t="inlineStr">
        <is>
          <t>Да</t>
        </is>
      </c>
      <c r="G108" s="44">
        <f>IF(billInc&gt;0,ROUNDUP(tblLog[[#This Row],[Часы]]/billInc,0)*billInc,tblLog[[#This Row],[Часы]])</f>
        <v>1.5</v>
      </c>
      <c r="H108" s="45">
        <f>IFERROR(INDEX(tblRates[СтавкаКлиенту],MATCH(tblLog[[#This Row],[Сотрудник]],tblRates[Сотрудник],0)),0)</f>
        <v>3500</v>
      </c>
      <c r="I108" s="45">
        <f>IF(tblLog[[#This Row],[Оплачиваемо]]=yesFlag,ROUND(tblLog[[#This Row],[ЧасыКОплате]]*tblLog[[#This Row],[Ставка]],2),0)</f>
        <v>5250</v>
      </c>
      <c r="J108" s="45">
        <f>IFERROR(INDEX(tblRates[СтавкаСотруднику],MATCH(tblLog[[#This Row],[Сотрудник]],tblRates[Сотрудник],0)),0)</f>
        <v>2400</v>
      </c>
      <c r="K108" s="45">
        <f>ROUND(tblLog[[#This Row],[Часы]]*tblLog[[#This Row],[СтавкаЗП]],2)</f>
        <v>3504</v>
      </c>
    </row>
    <row r="109">
      <c r="A109" s="41" t="n">
        <v>46268</v>
      </c>
      <c r="B109" s="42" t="inlineStr">
        <is>
          <t>Сольберг Мира</t>
        </is>
      </c>
      <c r="C109" s="42" t="inlineStr">
        <is>
          <t>Мобильное приложение для цеха</t>
        </is>
      </c>
      <c r="D109" s="42" t="inlineStr">
        <is>
          <t>Сканирование штрихкодов</t>
        </is>
      </c>
      <c r="E109" s="43" t="n">
        <v>2.09</v>
      </c>
      <c r="F109" s="42" t="inlineStr">
        <is>
          <t>Да</t>
        </is>
      </c>
      <c r="G109" s="44">
        <f>IF(billInc&gt;0,ROUNDUP(tblLog[[#This Row],[Часы]]/billInc,0)*billInc,tblLog[[#This Row],[Часы]])</f>
        <v>2.25</v>
      </c>
      <c r="H109" s="45">
        <f>IFERROR(INDEX(tblRates[СтавкаКлиенту],MATCH(tblLog[[#This Row],[Сотрудник]],tblRates[Сотрудник],0)),0)</f>
        <v>3500</v>
      </c>
      <c r="I109" s="45">
        <f>IF(tblLog[[#This Row],[Оплачиваемо]]=yesFlag,ROUND(tblLog[[#This Row],[ЧасыКОплате]]*tblLog[[#This Row],[Ставка]],2),0)</f>
        <v>7875</v>
      </c>
      <c r="J109" s="45">
        <f>IFERROR(INDEX(tblRates[СтавкаСотруднику],MATCH(tblLog[[#This Row],[Сотрудник]],tblRates[Сотрудник],0)),0)</f>
        <v>2400</v>
      </c>
      <c r="K109" s="45">
        <f>ROUND(tblLog[[#This Row],[Часы]]*tblLog[[#This Row],[СтавкаЗП]],2)</f>
        <v>5016</v>
      </c>
    </row>
    <row r="110">
      <c r="A110" s="41" t="n">
        <v>46268</v>
      </c>
      <c r="B110" s="42" t="inlineStr">
        <is>
          <t>Сольберг Мира</t>
        </is>
      </c>
      <c r="C110" s="42" t="inlineStr">
        <is>
          <t>Мобильное приложение для цеха</t>
        </is>
      </c>
      <c r="D110" s="42" t="inlineStr">
        <is>
          <t>Офлайн-синхронизация</t>
        </is>
      </c>
      <c r="E110" s="43" t="n">
        <v>1.25</v>
      </c>
      <c r="F110" s="42" t="inlineStr">
        <is>
          <t>Да</t>
        </is>
      </c>
      <c r="G110" s="44">
        <f>IF(billInc&gt;0,ROUNDUP(tblLog[[#This Row],[Часы]]/billInc,0)*billInc,tblLog[[#This Row],[Часы]])</f>
        <v>1.25</v>
      </c>
      <c r="H110" s="45">
        <f>IFERROR(INDEX(tblRates[СтавкаКлиенту],MATCH(tblLog[[#This Row],[Сотрудник]],tblRates[Сотрудник],0)),0)</f>
        <v>3500</v>
      </c>
      <c r="I110" s="45">
        <f>IF(tblLog[[#This Row],[Оплачиваемо]]=yesFlag,ROUND(tblLog[[#This Row],[ЧасыКОплате]]*tblLog[[#This Row],[Ставка]],2),0)</f>
        <v>4375</v>
      </c>
      <c r="J110" s="45">
        <f>IFERROR(INDEX(tblRates[СтавкаСотруднику],MATCH(tblLog[[#This Row],[Сотрудник]],tblRates[Сотрудник],0)),0)</f>
        <v>2400</v>
      </c>
      <c r="K110" s="45">
        <f>ROUND(tblLog[[#This Row],[Часы]]*tblLog[[#This Row],[СтавкаЗП]],2)</f>
        <v>3000</v>
      </c>
    </row>
    <row r="111">
      <c r="A111" s="41" t="n">
        <v>46269</v>
      </c>
      <c r="B111" s="42" t="inlineStr">
        <is>
          <t>Варга Тео</t>
        </is>
      </c>
      <c r="C111" s="42" t="inlineStr">
        <is>
          <t>Поддержка</t>
        </is>
      </c>
      <c r="D111" s="42" t="inlineStr">
        <is>
          <t>Обновление сервера</t>
        </is>
      </c>
      <c r="E111" s="43" t="n">
        <v>1.66</v>
      </c>
      <c r="F111" s="42" t="inlineStr">
        <is>
          <t>Нет</t>
        </is>
      </c>
      <c r="G111" s="44">
        <f>IF(billInc&gt;0,ROUNDUP(tblLog[[#This Row],[Часы]]/billInc,0)*billInc,tblLog[[#This Row],[Часы]])</f>
        <v>1.75</v>
      </c>
      <c r="H111" s="45">
        <f>IFERROR(INDEX(tblRates[СтавкаКлиенту],MATCH(tblLog[[#This Row],[Сотрудник]],tblRates[Сотрудник],0)),0)</f>
        <v>2600</v>
      </c>
      <c r="I111" s="45">
        <f>IF(tblLog[[#This Row],[Оплачиваемо]]=yesFlag,ROUND(tblLog[[#This Row],[ЧасыКОплате]]*tblLog[[#This Row],[Ставка]],2),0)</f>
        <v>0</v>
      </c>
      <c r="J111" s="45">
        <f>IFERROR(INDEX(tblRates[СтавкаСотруднику],MATCH(tblLog[[#This Row],[Сотрудник]],tblRates[Сотрудник],0)),0)</f>
        <v>1700</v>
      </c>
      <c r="K111" s="45">
        <f>ROUND(tblLog[[#This Row],[Часы]]*tblLog[[#This Row],[СтавкаЗП]],2)</f>
        <v>2822</v>
      </c>
    </row>
    <row r="112">
      <c r="A112" s="41" t="n">
        <v>46269</v>
      </c>
      <c r="B112" s="42" t="inlineStr">
        <is>
          <t>Варга Тео</t>
        </is>
      </c>
      <c r="C112" s="42" t="inlineStr">
        <is>
          <t>Мобильное приложение для цеха</t>
        </is>
      </c>
      <c r="D112" s="42" t="inlineStr">
        <is>
          <t>Push-уведомления</t>
        </is>
      </c>
      <c r="E112" s="43" t="n">
        <v>3.7</v>
      </c>
      <c r="F112" s="42" t="inlineStr">
        <is>
          <t>Да</t>
        </is>
      </c>
      <c r="G112" s="44">
        <f>IF(billInc&gt;0,ROUNDUP(tblLog[[#This Row],[Часы]]/billInc,0)*billInc,tblLog[[#This Row],[Часы]])</f>
        <v>3.75</v>
      </c>
      <c r="H112" s="45">
        <f>IFERROR(INDEX(tblRates[СтавкаКлиенту],MATCH(tblLog[[#This Row],[Сотрудник]],tblRates[Сотрудник],0)),0)</f>
        <v>2600</v>
      </c>
      <c r="I112" s="45">
        <f>IF(tblLog[[#This Row],[Оплачиваемо]]=yesFlag,ROUND(tblLog[[#This Row],[ЧасыКОплате]]*tblLog[[#This Row],[Ставка]],2),0)</f>
        <v>9750</v>
      </c>
      <c r="J112" s="45">
        <f>IFERROR(INDEX(tblRates[СтавкаСотруднику],MATCH(tblLog[[#This Row],[Сотрудник]],tblRates[Сотрудник],0)),0)</f>
        <v>1700</v>
      </c>
      <c r="K112" s="45">
        <f>ROUND(tblLog[[#This Row],[Часы]]*tblLog[[#This Row],[СтавкаЗП]],2)</f>
        <v>6290</v>
      </c>
    </row>
    <row r="113">
      <c r="A113" s="41" t="n">
        <v>46269</v>
      </c>
      <c r="B113" s="42" t="inlineStr">
        <is>
          <t>Варга Тео</t>
        </is>
      </c>
      <c r="C113" s="42" t="inlineStr">
        <is>
          <t>Мобильное приложение для цеха</t>
        </is>
      </c>
      <c r="D113" s="42" t="inlineStr">
        <is>
          <t>Сканирование штрихкодов</t>
        </is>
      </c>
      <c r="E113" s="43" t="n">
        <v>2.64</v>
      </c>
      <c r="F113" s="42" t="inlineStr">
        <is>
          <t>Да</t>
        </is>
      </c>
      <c r="G113" s="44">
        <f>IF(billInc&gt;0,ROUNDUP(tblLog[[#This Row],[Часы]]/billInc,0)*billInc,tblLog[[#This Row],[Часы]])</f>
        <v>2.75</v>
      </c>
      <c r="H113" s="45">
        <f>IFERROR(INDEX(tblRates[СтавкаКлиенту],MATCH(tblLog[[#This Row],[Сотрудник]],tblRates[Сотрудник],0)),0)</f>
        <v>2600</v>
      </c>
      <c r="I113" s="45">
        <f>IF(tblLog[[#This Row],[Оплачиваемо]]=yesFlag,ROUND(tblLog[[#This Row],[ЧасыКОплате]]*tblLog[[#This Row],[Ставка]],2),0)</f>
        <v>7150</v>
      </c>
      <c r="J113" s="45">
        <f>IFERROR(INDEX(tblRates[СтавкаСотруднику],MATCH(tblLog[[#This Row],[Сотрудник]],tblRates[Сотрудник],0)),0)</f>
        <v>1700</v>
      </c>
      <c r="K113" s="45">
        <f>ROUND(tblLog[[#This Row],[Часы]]*tblLog[[#This Row],[СтавкаЗП]],2)</f>
        <v>4488</v>
      </c>
    </row>
    <row r="114">
      <c r="A114" s="41" t="n">
        <v>46269</v>
      </c>
      <c r="B114" s="42" t="inlineStr">
        <is>
          <t>Окафор Инес</t>
        </is>
      </c>
      <c r="C114" s="42" t="inlineStr">
        <is>
          <t>Мобильное приложение для цеха</t>
        </is>
      </c>
      <c r="D114" s="42" t="inlineStr">
        <is>
          <t>Push-уведомления</t>
        </is>
      </c>
      <c r="E114" s="43" t="n">
        <v>3.98</v>
      </c>
      <c r="F114" s="42" t="inlineStr">
        <is>
          <t>Да</t>
        </is>
      </c>
      <c r="G114" s="44">
        <f>IF(billInc&gt;0,ROUNDUP(tblLog[[#This Row],[Часы]]/billInc,0)*billInc,tblLog[[#This Row],[Часы]])</f>
        <v>4</v>
      </c>
      <c r="H114" s="45">
        <f>IFERROR(INDEX(tblRates[СтавкаКлиенту],MATCH(tblLog[[#This Row],[Сотрудник]],tblRates[Сотрудник],0)),0)</f>
        <v>1900</v>
      </c>
      <c r="I114" s="45">
        <f>IF(tblLog[[#This Row],[Оплачиваемо]]=yesFlag,ROUND(tblLog[[#This Row],[ЧасыКОплате]]*tblLog[[#This Row],[Ставка]],2),0)</f>
        <v>7600</v>
      </c>
      <c r="J114" s="45">
        <f>IFERROR(INDEX(tblRates[СтавкаСотруднику],MATCH(tblLog[[#This Row],[Сотрудник]],tblRates[Сотрудник],0)),0)</f>
        <v>1200</v>
      </c>
      <c r="K114" s="45">
        <f>ROUND(tblLog[[#This Row],[Часы]]*tblLog[[#This Row],[СтавкаЗП]],2)</f>
        <v>4776</v>
      </c>
    </row>
    <row r="115">
      <c r="A115" s="41" t="n">
        <v>46269</v>
      </c>
      <c r="B115" s="42" t="inlineStr">
        <is>
          <t>Окафор Инес</t>
        </is>
      </c>
      <c r="C115" s="42" t="inlineStr">
        <is>
          <t>Клиентский портал</t>
        </is>
      </c>
      <c r="D115" s="42" t="inlineStr">
        <is>
          <t>Авторизация и роли</t>
        </is>
      </c>
      <c r="E115" s="43" t="n">
        <v>3.19</v>
      </c>
      <c r="F115" s="42" t="inlineStr">
        <is>
          <t>Да</t>
        </is>
      </c>
      <c r="G115" s="44">
        <f>IF(billInc&gt;0,ROUNDUP(tblLog[[#This Row],[Часы]]/billInc,0)*billInc,tblLog[[#This Row],[Часы]])</f>
        <v>3.25</v>
      </c>
      <c r="H115" s="45">
        <f>IFERROR(INDEX(tblRates[СтавкаКлиенту],MATCH(tblLog[[#This Row],[Сотрудник]],tblRates[Сотрудник],0)),0)</f>
        <v>1900</v>
      </c>
      <c r="I115" s="45">
        <f>IF(tblLog[[#This Row],[Оплачиваемо]]=yesFlag,ROUND(tblLog[[#This Row],[ЧасыКОплате]]*tblLog[[#This Row],[Ставка]],2),0)</f>
        <v>6175</v>
      </c>
      <c r="J115" s="45">
        <f>IFERROR(INDEX(tblRates[СтавкаСотруднику],MATCH(tblLog[[#This Row],[Сотрудник]],tblRates[Сотрудник],0)),0)</f>
        <v>1200</v>
      </c>
      <c r="K115" s="45">
        <f>ROUND(tblLog[[#This Row],[Часы]]*tblLog[[#This Row],[СтавкаЗП]],2)</f>
        <v>3828</v>
      </c>
    </row>
    <row r="116">
      <c r="A116" s="41" t="n">
        <v>46269</v>
      </c>
      <c r="B116" s="42" t="inlineStr">
        <is>
          <t>Окафор Инес</t>
        </is>
      </c>
      <c r="C116" s="42" t="inlineStr">
        <is>
          <t>Клиентский портал</t>
        </is>
      </c>
      <c r="D116" s="42" t="inlineStr">
        <is>
          <t>Страница статуса заказа</t>
        </is>
      </c>
      <c r="E116" s="43" t="n">
        <v>0.33</v>
      </c>
      <c r="F116" s="42" t="inlineStr">
        <is>
          <t>Да</t>
        </is>
      </c>
      <c r="G116" s="44">
        <f>IF(billInc&gt;0,ROUNDUP(tblLog[[#This Row],[Часы]]/billInc,0)*billInc,tblLog[[#This Row],[Часы]])</f>
        <v>0.5</v>
      </c>
      <c r="H116" s="45">
        <f>IFERROR(INDEX(tblRates[СтавкаКлиенту],MATCH(tblLog[[#This Row],[Сотрудник]],tblRates[Сотрудник],0)),0)</f>
        <v>1900</v>
      </c>
      <c r="I116" s="45">
        <f>IF(tblLog[[#This Row],[Оплачиваемо]]=yesFlag,ROUND(tblLog[[#This Row],[ЧасыКОплате]]*tblLog[[#This Row],[Ставка]],2),0)</f>
        <v>950</v>
      </c>
      <c r="J116" s="45">
        <f>IFERROR(INDEX(tblRates[СтавкаСотруднику],MATCH(tblLog[[#This Row],[Сотрудник]],tblRates[Сотрудник],0)),0)</f>
        <v>1200</v>
      </c>
      <c r="K116" s="45">
        <f>ROUND(tblLog[[#This Row],[Часы]]*tblLog[[#This Row],[СтавкаЗП]],2)</f>
        <v>396</v>
      </c>
    </row>
    <row r="117">
      <c r="A117" s="41" t="n">
        <v>46269</v>
      </c>
      <c r="B117" s="42" t="inlineStr">
        <is>
          <t>Сольберг Мира</t>
        </is>
      </c>
      <c r="C117" s="42" t="inlineStr">
        <is>
          <t>Мобильное приложение для цеха</t>
        </is>
      </c>
      <c r="D117" s="42" t="inlineStr">
        <is>
          <t>Сканирование штрихкодов</t>
        </is>
      </c>
      <c r="E117" s="43" t="n">
        <v>1.21</v>
      </c>
      <c r="F117" s="42" t="inlineStr">
        <is>
          <t>Да</t>
        </is>
      </c>
      <c r="G117" s="44">
        <f>IF(billInc&gt;0,ROUNDUP(tblLog[[#This Row],[Часы]]/billInc,0)*billInc,tblLog[[#This Row],[Часы]])</f>
        <v>1.25</v>
      </c>
      <c r="H117" s="45">
        <f>IFERROR(INDEX(tblRates[СтавкаКлиенту],MATCH(tblLog[[#This Row],[Сотрудник]],tblRates[Сотрудник],0)),0)</f>
        <v>3500</v>
      </c>
      <c r="I117" s="45">
        <f>IF(tblLog[[#This Row],[Оплачиваемо]]=yesFlag,ROUND(tblLog[[#This Row],[ЧасыКОплате]]*tblLog[[#This Row],[Ставка]],2),0)</f>
        <v>4375</v>
      </c>
      <c r="J117" s="45">
        <f>IFERROR(INDEX(tblRates[СтавкаСотруднику],MATCH(tblLog[[#This Row],[Сотрудник]],tblRates[Сотрудник],0)),0)</f>
        <v>2400</v>
      </c>
      <c r="K117" s="45">
        <f>ROUND(tblLog[[#This Row],[Часы]]*tblLog[[#This Row],[СтавкаЗП]],2)</f>
        <v>2904</v>
      </c>
    </row>
    <row r="118">
      <c r="A118" s="41" t="n">
        <v>46269</v>
      </c>
      <c r="B118" s="42" t="inlineStr">
        <is>
          <t>Сольберг Мира</t>
        </is>
      </c>
      <c r="C118" s="42" t="inlineStr">
        <is>
          <t>Мобильное приложение для цеха</t>
        </is>
      </c>
      <c r="D118" s="42" t="inlineStr">
        <is>
          <t>Офлайн-синхронизация</t>
        </is>
      </c>
      <c r="E118" s="43" t="n">
        <v>0.95</v>
      </c>
      <c r="F118" s="42" t="inlineStr">
        <is>
          <t>Да</t>
        </is>
      </c>
      <c r="G118" s="44">
        <f>IF(billInc&gt;0,ROUNDUP(tblLog[[#This Row],[Часы]]/billInc,0)*billInc,tblLog[[#This Row],[Часы]])</f>
        <v>1</v>
      </c>
      <c r="H118" s="45">
        <f>IFERROR(INDEX(tblRates[СтавкаКлиенту],MATCH(tblLog[[#This Row],[Сотрудник]],tblRates[Сотрудник],0)),0)</f>
        <v>3500</v>
      </c>
      <c r="I118" s="45">
        <f>IF(tblLog[[#This Row],[Оплачиваемо]]=yesFlag,ROUND(tblLog[[#This Row],[ЧасыКОплате]]*tblLog[[#This Row],[Ставка]],2),0)</f>
        <v>3500</v>
      </c>
      <c r="J118" s="45">
        <f>IFERROR(INDEX(tblRates[СтавкаСотруднику],MATCH(tblLog[[#This Row],[Сотрудник]],tblRates[Сотрудник],0)),0)</f>
        <v>2400</v>
      </c>
      <c r="K118" s="45">
        <f>ROUND(tblLog[[#This Row],[Часы]]*tblLog[[#This Row],[СтавкаЗП]],2)</f>
        <v>2280</v>
      </c>
    </row>
    <row r="119">
      <c r="A119" s="41" t="n">
        <v>46269</v>
      </c>
      <c r="B119" s="42" t="inlineStr">
        <is>
          <t>Сольберг Мира</t>
        </is>
      </c>
      <c r="C119" s="42" t="inlineStr">
        <is>
          <t>Мобильное приложение для цеха</t>
        </is>
      </c>
      <c r="D119" s="42" t="inlineStr">
        <is>
          <t>Офлайн-синхронизация</t>
        </is>
      </c>
      <c r="E119" s="43" t="n">
        <v>3.05</v>
      </c>
      <c r="F119" s="42" t="inlineStr">
        <is>
          <t>Да</t>
        </is>
      </c>
      <c r="G119" s="44">
        <f>IF(billInc&gt;0,ROUNDUP(tblLog[[#This Row],[Часы]]/billInc,0)*billInc,tblLog[[#This Row],[Часы]])</f>
        <v>3.25</v>
      </c>
      <c r="H119" s="45">
        <f>IFERROR(INDEX(tblRates[СтавкаКлиенту],MATCH(tblLog[[#This Row],[Сотрудник]],tblRates[Сотрудник],0)),0)</f>
        <v>3500</v>
      </c>
      <c r="I119" s="45">
        <f>IF(tblLog[[#This Row],[Оплачиваемо]]=yesFlag,ROUND(tblLog[[#This Row],[ЧасыКОплате]]*tblLog[[#This Row],[Ставка]],2),0)</f>
        <v>11375</v>
      </c>
      <c r="J119" s="45">
        <f>IFERROR(INDEX(tblRates[СтавкаСотруднику],MATCH(tblLog[[#This Row],[Сотрудник]],tblRates[Сотрудник],0)),0)</f>
        <v>2400</v>
      </c>
      <c r="K119" s="45">
        <f>ROUND(tblLog[[#This Row],[Часы]]*tblLog[[#This Row],[СтавкаЗП]],2)</f>
        <v>7320</v>
      </c>
    </row>
    <row r="120">
      <c r="A120" s="41" t="n">
        <v>46269</v>
      </c>
      <c r="B120" s="42" t="inlineStr">
        <is>
          <t>Сольберг Мира</t>
        </is>
      </c>
      <c r="C120" s="42" t="inlineStr">
        <is>
          <t>Клиентский портал</t>
        </is>
      </c>
      <c r="D120" s="42" t="inlineStr">
        <is>
          <t>Авторизация и роли</t>
        </is>
      </c>
      <c r="E120" s="43" t="n">
        <v>2.79</v>
      </c>
      <c r="F120" s="42" t="inlineStr">
        <is>
          <t>Да</t>
        </is>
      </c>
      <c r="G120" s="44">
        <f>IF(billInc&gt;0,ROUNDUP(tblLog[[#This Row],[Часы]]/billInc,0)*billInc,tblLog[[#This Row],[Часы]])</f>
        <v>3</v>
      </c>
      <c r="H120" s="45">
        <f>IFERROR(INDEX(tblRates[СтавкаКлиенту],MATCH(tblLog[[#This Row],[Сотрудник]],tblRates[Сотрудник],0)),0)</f>
        <v>3500</v>
      </c>
      <c r="I120" s="45">
        <f>IF(tblLog[[#This Row],[Оплачиваемо]]=yesFlag,ROUND(tblLog[[#This Row],[ЧасыКОплате]]*tblLog[[#This Row],[Ставка]],2),0)</f>
        <v>10500</v>
      </c>
      <c r="J120" s="45">
        <f>IFERROR(INDEX(tblRates[СтавкаСотруднику],MATCH(tblLog[[#This Row],[Сотрудник]],tblRates[Сотрудник],0)),0)</f>
        <v>2400</v>
      </c>
      <c r="K120" s="45">
        <f>ROUND(tblLog[[#This Row],[Часы]]*tblLog[[#This Row],[СтавкаЗП]],2)</f>
        <v>6696</v>
      </c>
    </row>
    <row r="121">
      <c r="A121" s="41" t="n">
        <v>46272</v>
      </c>
      <c r="B121" s="42" t="inlineStr">
        <is>
          <t>Варга Тео</t>
        </is>
      </c>
      <c r="C121" s="42" t="inlineStr">
        <is>
          <t>Мобильное приложение для цеха</t>
        </is>
      </c>
      <c r="D121" s="42" t="inlineStr">
        <is>
          <t>Сканирование штрихкодов</t>
        </is>
      </c>
      <c r="E121" s="43" t="n">
        <v>3.41</v>
      </c>
      <c r="F121" s="42" t="inlineStr">
        <is>
          <t>Да</t>
        </is>
      </c>
      <c r="G121" s="44">
        <f>IF(billInc&gt;0,ROUNDUP(tblLog[[#This Row],[Часы]]/billInc,0)*billInc,tblLog[[#This Row],[Часы]])</f>
        <v>3.5</v>
      </c>
      <c r="H121" s="45">
        <f>IFERROR(INDEX(tblRates[СтавкаКлиенту],MATCH(tblLog[[#This Row],[Сотрудник]],tblRates[Сотрудник],0)),0)</f>
        <v>2600</v>
      </c>
      <c r="I121" s="45">
        <f>IF(tblLog[[#This Row],[Оплачиваемо]]=yesFlag,ROUND(tblLog[[#This Row],[ЧасыКОплате]]*tblLog[[#This Row],[Ставка]],2),0)</f>
        <v>9100</v>
      </c>
      <c r="J121" s="45">
        <f>IFERROR(INDEX(tblRates[СтавкаСотруднику],MATCH(tblLog[[#This Row],[Сотрудник]],tblRates[Сотрудник],0)),0)</f>
        <v>1700</v>
      </c>
      <c r="K121" s="45">
        <f>ROUND(tblLog[[#This Row],[Часы]]*tblLog[[#This Row],[СтавкаЗП]],2)</f>
        <v>5797</v>
      </c>
    </row>
    <row r="122">
      <c r="A122" s="41" t="n">
        <v>46272</v>
      </c>
      <c r="B122" s="42" t="inlineStr">
        <is>
          <t>Варга Тео</t>
        </is>
      </c>
      <c r="C122" s="42" t="inlineStr">
        <is>
          <t>Клиентский портал</t>
        </is>
      </c>
      <c r="D122" s="42" t="inlineStr">
        <is>
          <t>Выгрузка отчётов</t>
        </is>
      </c>
      <c r="E122" s="43" t="n">
        <v>3.65</v>
      </c>
      <c r="F122" s="42" t="inlineStr">
        <is>
          <t>Да</t>
        </is>
      </c>
      <c r="G122" s="44">
        <f>IF(billInc&gt;0,ROUNDUP(tblLog[[#This Row],[Часы]]/billInc,0)*billInc,tblLog[[#This Row],[Часы]])</f>
        <v>3.75</v>
      </c>
      <c r="H122" s="45">
        <f>IFERROR(INDEX(tblRates[СтавкаКлиенту],MATCH(tblLog[[#This Row],[Сотрудник]],tblRates[Сотрудник],0)),0)</f>
        <v>2600</v>
      </c>
      <c r="I122" s="45">
        <f>IF(tblLog[[#This Row],[Оплачиваемо]]=yesFlag,ROUND(tblLog[[#This Row],[ЧасыКОплате]]*tblLog[[#This Row],[Ставка]],2),0)</f>
        <v>9750</v>
      </c>
      <c r="J122" s="45">
        <f>IFERROR(INDEX(tblRates[СтавкаСотруднику],MATCH(tblLog[[#This Row],[Сотрудник]],tblRates[Сотрудник],0)),0)</f>
        <v>1700</v>
      </c>
      <c r="K122" s="45">
        <f>ROUND(tblLog[[#This Row],[Часы]]*tblLog[[#This Row],[СтавкаЗП]],2)</f>
        <v>6205</v>
      </c>
    </row>
    <row r="123">
      <c r="A123" s="41" t="n">
        <v>46272</v>
      </c>
      <c r="B123" s="42" t="inlineStr">
        <is>
          <t>Варга Тео</t>
        </is>
      </c>
      <c r="C123" s="42" t="inlineStr">
        <is>
          <t>Мобильное приложение для цеха</t>
        </is>
      </c>
      <c r="D123" s="42" t="inlineStr">
        <is>
          <t>Push-уведомления</t>
        </is>
      </c>
      <c r="E123" s="43" t="n">
        <v>0.9399999999999999</v>
      </c>
      <c r="F123" s="42" t="inlineStr">
        <is>
          <t>Да</t>
        </is>
      </c>
      <c r="G123" s="44">
        <f>IF(billInc&gt;0,ROUNDUP(tblLog[[#This Row],[Часы]]/billInc,0)*billInc,tblLog[[#This Row],[Часы]])</f>
        <v>1</v>
      </c>
      <c r="H123" s="45">
        <f>IFERROR(INDEX(tblRates[СтавкаКлиенту],MATCH(tblLog[[#This Row],[Сотрудник]],tblRates[Сотрудник],0)),0)</f>
        <v>2600</v>
      </c>
      <c r="I123" s="45">
        <f>IF(tblLog[[#This Row],[Оплачиваемо]]=yesFlag,ROUND(tblLog[[#This Row],[ЧасыКОплате]]*tblLog[[#This Row],[Ставка]],2),0)</f>
        <v>2600</v>
      </c>
      <c r="J123" s="45">
        <f>IFERROR(INDEX(tblRates[СтавкаСотруднику],MATCH(tblLog[[#This Row],[Сотрудник]],tblRates[Сотрудник],0)),0)</f>
        <v>1700</v>
      </c>
      <c r="K123" s="45">
        <f>ROUND(tblLog[[#This Row],[Часы]]*tblLog[[#This Row],[СтавкаЗП]],2)</f>
        <v>1598</v>
      </c>
    </row>
    <row r="124">
      <c r="A124" s="41" t="n">
        <v>46272</v>
      </c>
      <c r="B124" s="42" t="inlineStr">
        <is>
          <t>Окафор Инес</t>
        </is>
      </c>
      <c r="C124" s="42" t="inlineStr">
        <is>
          <t>Клиентский портал</t>
        </is>
      </c>
      <c r="D124" s="42" t="inlineStr">
        <is>
          <t>Выгрузка отчётов</t>
        </is>
      </c>
      <c r="E124" s="43" t="n">
        <v>1.1</v>
      </c>
      <c r="F124" s="42" t="inlineStr">
        <is>
          <t>Да</t>
        </is>
      </c>
      <c r="G124" s="44">
        <f>IF(billInc&gt;0,ROUNDUP(tblLog[[#This Row],[Часы]]/billInc,0)*billInc,tblLog[[#This Row],[Часы]])</f>
        <v>1.25</v>
      </c>
      <c r="H124" s="45">
        <f>IFERROR(INDEX(tblRates[СтавкаКлиенту],MATCH(tblLog[[#This Row],[Сотрудник]],tblRates[Сотрудник],0)),0)</f>
        <v>1900</v>
      </c>
      <c r="I124" s="45">
        <f>IF(tblLog[[#This Row],[Оплачиваемо]]=yesFlag,ROUND(tblLog[[#This Row],[ЧасыКОплате]]*tblLog[[#This Row],[Ставка]],2),0)</f>
        <v>2375</v>
      </c>
      <c r="J124" s="45">
        <f>IFERROR(INDEX(tblRates[СтавкаСотруднику],MATCH(tblLog[[#This Row],[Сотрудник]],tblRates[Сотрудник],0)),0)</f>
        <v>1200</v>
      </c>
      <c r="K124" s="45">
        <f>ROUND(tblLog[[#This Row],[Часы]]*tblLog[[#This Row],[СтавкаЗП]],2)</f>
        <v>1320</v>
      </c>
    </row>
    <row r="125">
      <c r="A125" s="41" t="n">
        <v>46272</v>
      </c>
      <c r="B125" s="42" t="inlineStr">
        <is>
          <t>Окафор Инес</t>
        </is>
      </c>
      <c r="C125" s="42" t="inlineStr">
        <is>
          <t>Мобильное приложение для цеха</t>
        </is>
      </c>
      <c r="D125" s="42" t="inlineStr">
        <is>
          <t>Сканирование штрихкодов</t>
        </is>
      </c>
      <c r="E125" s="43" t="n">
        <v>2.32</v>
      </c>
      <c r="F125" s="42" t="inlineStr">
        <is>
          <t>Да</t>
        </is>
      </c>
      <c r="G125" s="44">
        <f>IF(billInc&gt;0,ROUNDUP(tblLog[[#This Row],[Часы]]/billInc,0)*billInc,tblLog[[#This Row],[Часы]])</f>
        <v>2.5</v>
      </c>
      <c r="H125" s="45">
        <f>IFERROR(INDEX(tblRates[СтавкаКлиенту],MATCH(tblLog[[#This Row],[Сотрудник]],tblRates[Сотрудник],0)),0)</f>
        <v>1900</v>
      </c>
      <c r="I125" s="45">
        <f>IF(tblLog[[#This Row],[Оплачиваемо]]=yesFlag,ROUND(tblLog[[#This Row],[ЧасыКОплате]]*tblLog[[#This Row],[Ставка]],2),0)</f>
        <v>4750</v>
      </c>
      <c r="J125" s="45">
        <f>IFERROR(INDEX(tblRates[СтавкаСотруднику],MATCH(tblLog[[#This Row],[Сотрудник]],tblRates[Сотрудник],0)),0)</f>
        <v>1200</v>
      </c>
      <c r="K125" s="45">
        <f>ROUND(tblLog[[#This Row],[Часы]]*tblLog[[#This Row],[СтавкаЗП]],2)</f>
        <v>2784</v>
      </c>
    </row>
    <row r="126">
      <c r="A126" s="41" t="n">
        <v>46272</v>
      </c>
      <c r="B126" s="42" t="inlineStr">
        <is>
          <t>Окафор Инес</t>
        </is>
      </c>
      <c r="C126" s="42" t="inlineStr">
        <is>
          <t>Клиентский портал</t>
        </is>
      </c>
      <c r="D126" s="42" t="inlineStr">
        <is>
          <t>Код-ревью</t>
        </is>
      </c>
      <c r="E126" s="43" t="n">
        <v>0.34</v>
      </c>
      <c r="F126" s="42" t="inlineStr">
        <is>
          <t>Да</t>
        </is>
      </c>
      <c r="G126" s="44">
        <f>IF(billInc&gt;0,ROUNDUP(tblLog[[#This Row],[Часы]]/billInc,0)*billInc,tblLog[[#This Row],[Часы]])</f>
        <v>0.5</v>
      </c>
      <c r="H126" s="45">
        <f>IFERROR(INDEX(tblRates[СтавкаКлиенту],MATCH(tblLog[[#This Row],[Сотрудник]],tblRates[Сотрудник],0)),0)</f>
        <v>1900</v>
      </c>
      <c r="I126" s="45">
        <f>IF(tblLog[[#This Row],[Оплачиваемо]]=yesFlag,ROUND(tblLog[[#This Row],[ЧасыКОплате]]*tblLog[[#This Row],[Ставка]],2),0)</f>
        <v>950</v>
      </c>
      <c r="J126" s="45">
        <f>IFERROR(INDEX(tblRates[СтавкаСотруднику],MATCH(tblLog[[#This Row],[Сотрудник]],tblRates[Сотрудник],0)),0)</f>
        <v>1200</v>
      </c>
      <c r="K126" s="45">
        <f>ROUND(tblLog[[#This Row],[Часы]]*tblLog[[#This Row],[СтавкаЗП]],2)</f>
        <v>408</v>
      </c>
    </row>
    <row r="127">
      <c r="A127" s="41" t="n">
        <v>46272</v>
      </c>
      <c r="B127" s="42" t="inlineStr">
        <is>
          <t>Окафор Инес</t>
        </is>
      </c>
      <c r="C127" s="42" t="inlineStr">
        <is>
          <t>Мобильное приложение для цеха</t>
        </is>
      </c>
      <c r="D127" s="42" t="inlineStr">
        <is>
          <t>Сканирование штрихкодов</t>
        </is>
      </c>
      <c r="E127" s="43" t="n">
        <v>2.53</v>
      </c>
      <c r="F127" s="42" t="inlineStr">
        <is>
          <t>Да</t>
        </is>
      </c>
      <c r="G127" s="44">
        <f>IF(billInc&gt;0,ROUNDUP(tblLog[[#This Row],[Часы]]/billInc,0)*billInc,tblLog[[#This Row],[Часы]])</f>
        <v>2.75</v>
      </c>
      <c r="H127" s="45">
        <f>IFERROR(INDEX(tblRates[СтавкаКлиенту],MATCH(tblLog[[#This Row],[Сотрудник]],tblRates[Сотрудник],0)),0)</f>
        <v>1900</v>
      </c>
      <c r="I127" s="45">
        <f>IF(tblLog[[#This Row],[Оплачиваемо]]=yesFlag,ROUND(tblLog[[#This Row],[ЧасыКОплате]]*tblLog[[#This Row],[Ставка]],2),0)</f>
        <v>5225</v>
      </c>
      <c r="J127" s="45">
        <f>IFERROR(INDEX(tblRates[СтавкаСотруднику],MATCH(tblLog[[#This Row],[Сотрудник]],tblRates[Сотрудник],0)),0)</f>
        <v>1200</v>
      </c>
      <c r="K127" s="45">
        <f>ROUND(tblLog[[#This Row],[Часы]]*tblLog[[#This Row],[СтавкаЗП]],2)</f>
        <v>3036</v>
      </c>
    </row>
    <row r="128">
      <c r="A128" s="41" t="n">
        <v>46272</v>
      </c>
      <c r="B128" s="42" t="inlineStr">
        <is>
          <t>Окафор Инес</t>
        </is>
      </c>
      <c r="C128" s="42" t="inlineStr">
        <is>
          <t>Мобильное приложение для цеха</t>
        </is>
      </c>
      <c r="D128" s="42" t="inlineStr">
        <is>
          <t>Офлайн-синхронизация</t>
        </is>
      </c>
      <c r="E128" s="43" t="n">
        <v>1.71</v>
      </c>
      <c r="F128" s="42" t="inlineStr">
        <is>
          <t>Да</t>
        </is>
      </c>
      <c r="G128" s="44">
        <f>IF(billInc&gt;0,ROUNDUP(tblLog[[#This Row],[Часы]]/billInc,0)*billInc,tblLog[[#This Row],[Часы]])</f>
        <v>1.75</v>
      </c>
      <c r="H128" s="45">
        <f>IFERROR(INDEX(tblRates[СтавкаКлиенту],MATCH(tblLog[[#This Row],[Сотрудник]],tblRates[Сотрудник],0)),0)</f>
        <v>1900</v>
      </c>
      <c r="I128" s="45">
        <f>IF(tblLog[[#This Row],[Оплачиваемо]]=yesFlag,ROUND(tblLog[[#This Row],[ЧасыКОплате]]*tblLog[[#This Row],[Ставка]],2),0)</f>
        <v>3325</v>
      </c>
      <c r="J128" s="45">
        <f>IFERROR(INDEX(tblRates[СтавкаСотруднику],MATCH(tblLog[[#This Row],[Сотрудник]],tblRates[Сотрудник],0)),0)</f>
        <v>1200</v>
      </c>
      <c r="K128" s="45">
        <f>ROUND(tblLog[[#This Row],[Часы]]*tblLog[[#This Row],[СтавкаЗП]],2)</f>
        <v>2052</v>
      </c>
    </row>
    <row r="129">
      <c r="A129" s="41" t="n">
        <v>46272</v>
      </c>
      <c r="B129" s="42" t="inlineStr">
        <is>
          <t>Сольберг Мира</t>
        </is>
      </c>
      <c r="C129" s="42" t="inlineStr">
        <is>
          <t>Мобильное приложение для цеха</t>
        </is>
      </c>
      <c r="D129" s="42" t="inlineStr">
        <is>
          <t>Push-уведомления</t>
        </is>
      </c>
      <c r="E129" s="43" t="n">
        <v>1.81</v>
      </c>
      <c r="F129" s="42" t="inlineStr">
        <is>
          <t>Да</t>
        </is>
      </c>
      <c r="G129" s="44">
        <f>IF(billInc&gt;0,ROUNDUP(tblLog[[#This Row],[Часы]]/billInc,0)*billInc,tblLog[[#This Row],[Часы]])</f>
        <v>2</v>
      </c>
      <c r="H129" s="45">
        <f>IFERROR(INDEX(tblRates[СтавкаКлиенту],MATCH(tblLog[[#This Row],[Сотрудник]],tblRates[Сотрудник],0)),0)</f>
        <v>3500</v>
      </c>
      <c r="I129" s="45">
        <f>IF(tblLog[[#This Row],[Оплачиваемо]]=yesFlag,ROUND(tblLog[[#This Row],[ЧасыКОплате]]*tblLog[[#This Row],[Ставка]],2),0)</f>
        <v>7000</v>
      </c>
      <c r="J129" s="45">
        <f>IFERROR(INDEX(tblRates[СтавкаСотруднику],MATCH(tblLog[[#This Row],[Сотрудник]],tblRates[Сотрудник],0)),0)</f>
        <v>2400</v>
      </c>
      <c r="K129" s="45">
        <f>ROUND(tblLog[[#This Row],[Часы]]*tblLog[[#This Row],[СтавкаЗП]],2)</f>
        <v>4344</v>
      </c>
    </row>
    <row r="130">
      <c r="A130" s="41" t="n">
        <v>46272</v>
      </c>
      <c r="B130" s="42" t="inlineStr">
        <is>
          <t>Сольберг Мира</t>
        </is>
      </c>
      <c r="C130" s="42" t="inlineStr">
        <is>
          <t>Поддержка</t>
        </is>
      </c>
      <c r="D130" s="42" t="inlineStr">
        <is>
          <t>Созвон с клиентом</t>
        </is>
      </c>
      <c r="E130" s="43" t="n">
        <v>3.11</v>
      </c>
      <c r="F130" s="42" t="inlineStr">
        <is>
          <t>Нет</t>
        </is>
      </c>
      <c r="G130" s="44">
        <f>IF(billInc&gt;0,ROUNDUP(tblLog[[#This Row],[Часы]]/billInc,0)*billInc,tblLog[[#This Row],[Часы]])</f>
        <v>3.25</v>
      </c>
      <c r="H130" s="45">
        <f>IFERROR(INDEX(tblRates[СтавкаКлиенту],MATCH(tblLog[[#This Row],[Сотрудник]],tblRates[Сотрудник],0)),0)</f>
        <v>3500</v>
      </c>
      <c r="I130" s="45">
        <f>IF(tblLog[[#This Row],[Оплачиваемо]]=yesFlag,ROUND(tblLog[[#This Row],[ЧасыКОплате]]*tblLog[[#This Row],[Ставка]],2),0)</f>
        <v>0</v>
      </c>
      <c r="J130" s="45">
        <f>IFERROR(INDEX(tblRates[СтавкаСотруднику],MATCH(tblLog[[#This Row],[Сотрудник]],tblRates[Сотрудник],0)),0)</f>
        <v>2400</v>
      </c>
      <c r="K130" s="45">
        <f>ROUND(tblLog[[#This Row],[Часы]]*tblLog[[#This Row],[СтавкаЗП]],2)</f>
        <v>7464</v>
      </c>
    </row>
    <row r="131">
      <c r="A131" s="41" t="n">
        <v>46272</v>
      </c>
      <c r="B131" s="42" t="inlineStr">
        <is>
          <t>Сольберг Мира</t>
        </is>
      </c>
      <c r="C131" s="42" t="inlineStr">
        <is>
          <t>Мобильное приложение для цеха</t>
        </is>
      </c>
      <c r="D131" s="42" t="inlineStr">
        <is>
          <t>Push-уведомления</t>
        </is>
      </c>
      <c r="E131" s="43" t="n">
        <v>2.08</v>
      </c>
      <c r="F131" s="42" t="inlineStr">
        <is>
          <t>Да</t>
        </is>
      </c>
      <c r="G131" s="44">
        <f>IF(billInc&gt;0,ROUNDUP(tblLog[[#This Row],[Часы]]/billInc,0)*billInc,tblLog[[#This Row],[Часы]])</f>
        <v>2.25</v>
      </c>
      <c r="H131" s="45">
        <f>IFERROR(INDEX(tblRates[СтавкаКлиенту],MATCH(tblLog[[#This Row],[Сотрудник]],tblRates[Сотрудник],0)),0)</f>
        <v>3500</v>
      </c>
      <c r="I131" s="45">
        <f>IF(tblLog[[#This Row],[Оплачиваемо]]=yesFlag,ROUND(tblLog[[#This Row],[ЧасыКОплате]]*tblLog[[#This Row],[Ставка]],2),0)</f>
        <v>7875</v>
      </c>
      <c r="J131" s="45">
        <f>IFERROR(INDEX(tblRates[СтавкаСотруднику],MATCH(tblLog[[#This Row],[Сотрудник]],tblRates[Сотрудник],0)),0)</f>
        <v>2400</v>
      </c>
      <c r="K131" s="45">
        <f>ROUND(tblLog[[#This Row],[Часы]]*tblLog[[#This Row],[СтавкаЗП]],2)</f>
        <v>4992</v>
      </c>
    </row>
    <row r="132">
      <c r="A132" s="41" t="n">
        <v>46273</v>
      </c>
      <c r="B132" s="42" t="inlineStr">
        <is>
          <t>Бреннер Лука</t>
        </is>
      </c>
      <c r="C132" s="42" t="inlineStr">
        <is>
          <t>Клиентский портал</t>
        </is>
      </c>
      <c r="D132" s="42" t="inlineStr">
        <is>
          <t>Код-ревью</t>
        </is>
      </c>
      <c r="E132" s="43" t="n">
        <v>2.63</v>
      </c>
      <c r="F132" s="42" t="inlineStr">
        <is>
          <t>Да</t>
        </is>
      </c>
      <c r="G132" s="44">
        <f>IF(billInc&gt;0,ROUNDUP(tblLog[[#This Row],[Часы]]/billInc,0)*billInc,tblLog[[#This Row],[Часы]])</f>
        <v>2.75</v>
      </c>
      <c r="H132" s="45">
        <f>IFERROR(INDEX(tblRates[СтавкаКлиенту],MATCH(tblLog[[#This Row],[Сотрудник]],tblRates[Сотрудник],0)),0)</f>
        <v>2300</v>
      </c>
      <c r="I132" s="45">
        <f>IF(tblLog[[#This Row],[Оплачиваемо]]=yesFlag,ROUND(tblLog[[#This Row],[ЧасыКОплате]]*tblLog[[#This Row],[Ставка]],2),0)</f>
        <v>6325</v>
      </c>
      <c r="J132" s="45">
        <f>IFERROR(INDEX(tblRates[СтавкаСотруднику],MATCH(tblLog[[#This Row],[Сотрудник]],tblRates[Сотрудник],0)),0)</f>
        <v>1500</v>
      </c>
      <c r="K132" s="45">
        <f>ROUND(tblLog[[#This Row],[Часы]]*tblLog[[#This Row],[СтавкаЗП]],2)</f>
        <v>3945</v>
      </c>
    </row>
    <row r="133">
      <c r="A133" s="41" t="n">
        <v>46273</v>
      </c>
      <c r="B133" s="42" t="inlineStr">
        <is>
          <t>Бреннер Лука</t>
        </is>
      </c>
      <c r="C133" s="42" t="inlineStr">
        <is>
          <t>Клиентский портал</t>
        </is>
      </c>
      <c r="D133" s="42" t="inlineStr">
        <is>
          <t>Страница статуса заказа</t>
        </is>
      </c>
      <c r="E133" s="43" t="n">
        <v>0.59</v>
      </c>
      <c r="F133" s="42" t="inlineStr">
        <is>
          <t>Да</t>
        </is>
      </c>
      <c r="G133" s="44">
        <f>IF(billInc&gt;0,ROUNDUP(tblLog[[#This Row],[Часы]]/billInc,0)*billInc,tblLog[[#This Row],[Часы]])</f>
        <v>0.75</v>
      </c>
      <c r="H133" s="45">
        <f>IFERROR(INDEX(tblRates[СтавкаКлиенту],MATCH(tblLog[[#This Row],[Сотрудник]],tblRates[Сотрудник],0)),0)</f>
        <v>2300</v>
      </c>
      <c r="I133" s="45">
        <f>IF(tblLog[[#This Row],[Оплачиваемо]]=yesFlag,ROUND(tblLog[[#This Row],[ЧасыКОплате]]*tblLog[[#This Row],[Ставка]],2),0)</f>
        <v>1725</v>
      </c>
      <c r="J133" s="45">
        <f>IFERROR(INDEX(tblRates[СтавкаСотруднику],MATCH(tblLog[[#This Row],[Сотрудник]],tblRates[Сотрудник],0)),0)</f>
        <v>1500</v>
      </c>
      <c r="K133" s="45">
        <f>ROUND(tblLog[[#This Row],[Часы]]*tblLog[[#This Row],[СтавкаЗП]],2)</f>
        <v>885</v>
      </c>
    </row>
    <row r="134">
      <c r="A134" s="41" t="n">
        <v>46273</v>
      </c>
      <c r="B134" s="42" t="inlineStr">
        <is>
          <t>Бреннер Лука</t>
        </is>
      </c>
      <c r="C134" s="42" t="inlineStr">
        <is>
          <t>Мобильное приложение для цеха</t>
        </is>
      </c>
      <c r="D134" s="42" t="inlineStr">
        <is>
          <t>Сканирование штрихкодов</t>
        </is>
      </c>
      <c r="E134" s="43" t="n">
        <v>2.91</v>
      </c>
      <c r="F134" s="42" t="inlineStr">
        <is>
          <t>Да</t>
        </is>
      </c>
      <c r="G134" s="44">
        <f>IF(billInc&gt;0,ROUNDUP(tblLog[[#This Row],[Часы]]/billInc,0)*billInc,tblLog[[#This Row],[Часы]])</f>
        <v>3</v>
      </c>
      <c r="H134" s="45">
        <f>IFERROR(INDEX(tblRates[СтавкаКлиенту],MATCH(tblLog[[#This Row],[Сотрудник]],tblRates[Сотрудник],0)),0)</f>
        <v>2300</v>
      </c>
      <c r="I134" s="45">
        <f>IF(tblLog[[#This Row],[Оплачиваемо]]=yesFlag,ROUND(tblLog[[#This Row],[ЧасыКОплате]]*tblLog[[#This Row],[Ставка]],2),0)</f>
        <v>6900</v>
      </c>
      <c r="J134" s="45">
        <f>IFERROR(INDEX(tblRates[СтавкаСотруднику],MATCH(tblLog[[#This Row],[Сотрудник]],tblRates[Сотрудник],0)),0)</f>
        <v>1500</v>
      </c>
      <c r="K134" s="45">
        <f>ROUND(tblLog[[#This Row],[Часы]]*tblLog[[#This Row],[СтавкаЗП]],2)</f>
        <v>4365</v>
      </c>
    </row>
    <row r="135">
      <c r="A135" s="41" t="n">
        <v>46273</v>
      </c>
      <c r="B135" s="42" t="inlineStr">
        <is>
          <t>Бреннер Лука</t>
        </is>
      </c>
      <c r="C135" s="42" t="inlineStr">
        <is>
          <t>Клиентский портал</t>
        </is>
      </c>
      <c r="D135" s="42" t="inlineStr">
        <is>
          <t>Авторизация и роли</t>
        </is>
      </c>
      <c r="E135" s="43" t="n">
        <v>0.87</v>
      </c>
      <c r="F135" s="42" t="inlineStr">
        <is>
          <t>Да</t>
        </is>
      </c>
      <c r="G135" s="44">
        <f>IF(billInc&gt;0,ROUNDUP(tblLog[[#This Row],[Часы]]/billInc,0)*billInc,tblLog[[#This Row],[Часы]])</f>
        <v>1</v>
      </c>
      <c r="H135" s="45">
        <f>IFERROR(INDEX(tblRates[СтавкаКлиенту],MATCH(tblLog[[#This Row],[Сотрудник]],tblRates[Сотрудник],0)),0)</f>
        <v>2300</v>
      </c>
      <c r="I135" s="45">
        <f>IF(tblLog[[#This Row],[Оплачиваемо]]=yesFlag,ROUND(tblLog[[#This Row],[ЧасыКОплате]]*tblLog[[#This Row],[Ставка]],2),0)</f>
        <v>2300</v>
      </c>
      <c r="J135" s="45">
        <f>IFERROR(INDEX(tblRates[СтавкаСотруднику],MATCH(tblLog[[#This Row],[Сотрудник]],tblRates[Сотрудник],0)),0)</f>
        <v>1500</v>
      </c>
      <c r="K135" s="45">
        <f>ROUND(tblLog[[#This Row],[Часы]]*tblLog[[#This Row],[СтавкаЗП]],2)</f>
        <v>1305</v>
      </c>
    </row>
    <row r="136">
      <c r="A136" s="41" t="n">
        <v>46273</v>
      </c>
      <c r="B136" s="42" t="inlineStr">
        <is>
          <t>Варга Тео</t>
        </is>
      </c>
      <c r="C136" s="42" t="inlineStr">
        <is>
          <t>Клиентский портал</t>
        </is>
      </c>
      <c r="D136" s="42" t="inlineStr">
        <is>
          <t>Авторизация и роли</t>
        </is>
      </c>
      <c r="E136" s="43" t="n">
        <v>3.1</v>
      </c>
      <c r="F136" s="42" t="inlineStr">
        <is>
          <t>Да</t>
        </is>
      </c>
      <c r="G136" s="44">
        <f>IF(billInc&gt;0,ROUNDUP(tblLog[[#This Row],[Часы]]/billInc,0)*billInc,tblLog[[#This Row],[Часы]])</f>
        <v>3.25</v>
      </c>
      <c r="H136" s="45">
        <f>IFERROR(INDEX(tblRates[СтавкаКлиенту],MATCH(tblLog[[#This Row],[Сотрудник]],tblRates[Сотрудник],0)),0)</f>
        <v>2600</v>
      </c>
      <c r="I136" s="45">
        <f>IF(tblLog[[#This Row],[Оплачиваемо]]=yesFlag,ROUND(tblLog[[#This Row],[ЧасыКОплате]]*tblLog[[#This Row],[Ставка]],2),0)</f>
        <v>8450</v>
      </c>
      <c r="J136" s="45">
        <f>IFERROR(INDEX(tblRates[СтавкаСотруднику],MATCH(tblLog[[#This Row],[Сотрудник]],tblRates[Сотрудник],0)),0)</f>
        <v>1700</v>
      </c>
      <c r="K136" s="45">
        <f>ROUND(tblLog[[#This Row],[Часы]]*tblLog[[#This Row],[СтавкаЗП]],2)</f>
        <v>5270</v>
      </c>
    </row>
    <row r="137">
      <c r="A137" s="41" t="n">
        <v>46273</v>
      </c>
      <c r="B137" s="42" t="inlineStr">
        <is>
          <t>Варга Тео</t>
        </is>
      </c>
      <c r="C137" s="42" t="inlineStr">
        <is>
          <t>Клиентский портал</t>
        </is>
      </c>
      <c r="D137" s="42" t="inlineStr">
        <is>
          <t>Авторизация и роли</t>
        </is>
      </c>
      <c r="E137" s="43" t="n">
        <v>4.11</v>
      </c>
      <c r="F137" s="42" t="inlineStr">
        <is>
          <t>Да</t>
        </is>
      </c>
      <c r="G137" s="44">
        <f>IF(billInc&gt;0,ROUNDUP(tblLog[[#This Row],[Часы]]/billInc,0)*billInc,tblLog[[#This Row],[Часы]])</f>
        <v>4.25</v>
      </c>
      <c r="H137" s="45">
        <f>IFERROR(INDEX(tblRates[СтавкаКлиенту],MATCH(tblLog[[#This Row],[Сотрудник]],tblRates[Сотрудник],0)),0)</f>
        <v>2600</v>
      </c>
      <c r="I137" s="45">
        <f>IF(tblLog[[#This Row],[Оплачиваемо]]=yesFlag,ROUND(tblLog[[#This Row],[ЧасыКОплате]]*tblLog[[#This Row],[Ставка]],2),0)</f>
        <v>11050</v>
      </c>
      <c r="J137" s="45">
        <f>IFERROR(INDEX(tblRates[СтавкаСотруднику],MATCH(tblLog[[#This Row],[Сотрудник]],tblRates[Сотрудник],0)),0)</f>
        <v>1700</v>
      </c>
      <c r="K137" s="45">
        <f>ROUND(tblLog[[#This Row],[Часы]]*tblLog[[#This Row],[СтавкаЗП]],2)</f>
        <v>6987</v>
      </c>
    </row>
    <row r="138">
      <c r="A138" s="41" t="n">
        <v>46273</v>
      </c>
      <c r="B138" s="42" t="inlineStr">
        <is>
          <t>Варга Тео</t>
        </is>
      </c>
      <c r="C138" s="42" t="inlineStr">
        <is>
          <t>Мобильное приложение для цеха</t>
        </is>
      </c>
      <c r="D138" s="42" t="inlineStr">
        <is>
          <t>Push-уведомления</t>
        </is>
      </c>
      <c r="E138" s="43" t="n">
        <v>1</v>
      </c>
      <c r="F138" s="42" t="inlineStr">
        <is>
          <t>Да</t>
        </is>
      </c>
      <c r="G138" s="44">
        <f>IF(billInc&gt;0,ROUNDUP(tblLog[[#This Row],[Часы]]/billInc,0)*billInc,tblLog[[#This Row],[Часы]])</f>
        <v>1</v>
      </c>
      <c r="H138" s="45">
        <f>IFERROR(INDEX(tblRates[СтавкаКлиенту],MATCH(tblLog[[#This Row],[Сотрудник]],tblRates[Сотрудник],0)),0)</f>
        <v>2600</v>
      </c>
      <c r="I138" s="45">
        <f>IF(tblLog[[#This Row],[Оплачиваемо]]=yesFlag,ROUND(tblLog[[#This Row],[ЧасыКОплате]]*tblLog[[#This Row],[Ставка]],2),0)</f>
        <v>2600</v>
      </c>
      <c r="J138" s="45">
        <f>IFERROR(INDEX(tblRates[СтавкаСотруднику],MATCH(tblLog[[#This Row],[Сотрудник]],tblRates[Сотрудник],0)),0)</f>
        <v>1700</v>
      </c>
      <c r="K138" s="45">
        <f>ROUND(tblLog[[#This Row],[Часы]]*tblLog[[#This Row],[СтавкаЗП]],2)</f>
        <v>1700</v>
      </c>
    </row>
    <row r="139">
      <c r="A139" s="41" t="n">
        <v>46273</v>
      </c>
      <c r="B139" s="42" t="inlineStr">
        <is>
          <t>Варга Тео</t>
        </is>
      </c>
      <c r="C139" s="42" t="inlineStr">
        <is>
          <t>Клиентский портал</t>
        </is>
      </c>
      <c r="D139" s="42" t="inlineStr">
        <is>
          <t>Авторизация и роли</t>
        </is>
      </c>
      <c r="E139" s="43" t="n">
        <v>0.29</v>
      </c>
      <c r="F139" s="42" t="inlineStr">
        <is>
          <t>Да</t>
        </is>
      </c>
      <c r="G139" s="44">
        <f>IF(billInc&gt;0,ROUNDUP(tblLog[[#This Row],[Часы]]/billInc,0)*billInc,tblLog[[#This Row],[Часы]])</f>
        <v>0.5</v>
      </c>
      <c r="H139" s="45">
        <f>IFERROR(INDEX(tblRates[СтавкаКлиенту],MATCH(tblLog[[#This Row],[Сотрудник]],tblRates[Сотрудник],0)),0)</f>
        <v>2600</v>
      </c>
      <c r="I139" s="45">
        <f>IF(tblLog[[#This Row],[Оплачиваемо]]=yesFlag,ROUND(tblLog[[#This Row],[ЧасыКОплате]]*tblLog[[#This Row],[Ставка]],2),0)</f>
        <v>1300</v>
      </c>
      <c r="J139" s="45">
        <f>IFERROR(INDEX(tblRates[СтавкаСотруднику],MATCH(tblLog[[#This Row],[Сотрудник]],tblRates[Сотрудник],0)),0)</f>
        <v>1700</v>
      </c>
      <c r="K139" s="45">
        <f>ROUND(tblLog[[#This Row],[Часы]]*tblLog[[#This Row],[СтавкаЗП]],2)</f>
        <v>493</v>
      </c>
    </row>
    <row r="140">
      <c r="A140" s="41" t="n">
        <v>46273</v>
      </c>
      <c r="B140" s="42" t="inlineStr">
        <is>
          <t>Окафор Инес</t>
        </is>
      </c>
      <c r="C140" s="42" t="inlineStr">
        <is>
          <t>Клиентский портал</t>
        </is>
      </c>
      <c r="D140" s="42" t="inlineStr">
        <is>
          <t>Страница статуса заказа</t>
        </is>
      </c>
      <c r="E140" s="43" t="n">
        <v>1.66</v>
      </c>
      <c r="F140" s="42" t="inlineStr">
        <is>
          <t>Да</t>
        </is>
      </c>
      <c r="G140" s="44">
        <f>IF(billInc&gt;0,ROUNDUP(tblLog[[#This Row],[Часы]]/billInc,0)*billInc,tblLog[[#This Row],[Часы]])</f>
        <v>1.75</v>
      </c>
      <c r="H140" s="45">
        <f>IFERROR(INDEX(tblRates[СтавкаКлиенту],MATCH(tblLog[[#This Row],[Сотрудник]],tblRates[Сотрудник],0)),0)</f>
        <v>1900</v>
      </c>
      <c r="I140" s="45">
        <f>IF(tblLog[[#This Row],[Оплачиваемо]]=yesFlag,ROUND(tblLog[[#This Row],[ЧасыКОплате]]*tblLog[[#This Row],[Ставка]],2),0)</f>
        <v>3325</v>
      </c>
      <c r="J140" s="45">
        <f>IFERROR(INDEX(tblRates[СтавкаСотруднику],MATCH(tblLog[[#This Row],[Сотрудник]],tblRates[Сотрудник],0)),0)</f>
        <v>1200</v>
      </c>
      <c r="K140" s="45">
        <f>ROUND(tblLog[[#This Row],[Часы]]*tblLog[[#This Row],[СтавкаЗП]],2)</f>
        <v>1992</v>
      </c>
    </row>
    <row r="141">
      <c r="A141" s="41" t="n">
        <v>46273</v>
      </c>
      <c r="B141" s="42" t="inlineStr">
        <is>
          <t>Окафор Инес</t>
        </is>
      </c>
      <c r="C141" s="42" t="inlineStr">
        <is>
          <t>Мобильное приложение для цеха</t>
        </is>
      </c>
      <c r="D141" s="42" t="inlineStr">
        <is>
          <t>Push-уведомления</t>
        </is>
      </c>
      <c r="E141" s="43" t="n">
        <v>3.51</v>
      </c>
      <c r="F141" s="42" t="inlineStr">
        <is>
          <t>Нет</t>
        </is>
      </c>
      <c r="G141" s="44">
        <f>IF(billInc&gt;0,ROUNDUP(tblLog[[#This Row],[Часы]]/billInc,0)*billInc,tblLog[[#This Row],[Часы]])</f>
        <v>3.75</v>
      </c>
      <c r="H141" s="45">
        <f>IFERROR(INDEX(tblRates[СтавкаКлиенту],MATCH(tblLog[[#This Row],[Сотрудник]],tblRates[Сотрудник],0)),0)</f>
        <v>1900</v>
      </c>
      <c r="I141" s="45">
        <f>IF(tblLog[[#This Row],[Оплачиваемо]]=yesFlag,ROUND(tblLog[[#This Row],[ЧасыКОплате]]*tblLog[[#This Row],[Ставка]],2),0)</f>
        <v>0</v>
      </c>
      <c r="J141" s="45">
        <f>IFERROR(INDEX(tblRates[СтавкаСотруднику],MATCH(tblLog[[#This Row],[Сотрудник]],tblRates[Сотрудник],0)),0)</f>
        <v>1200</v>
      </c>
      <c r="K141" s="45">
        <f>ROUND(tblLog[[#This Row],[Часы]]*tblLog[[#This Row],[СтавкаЗП]],2)</f>
        <v>4212</v>
      </c>
    </row>
    <row r="142">
      <c r="A142" s="41" t="n">
        <v>46273</v>
      </c>
      <c r="B142" s="42" t="inlineStr">
        <is>
          <t>Окафор Инес</t>
        </is>
      </c>
      <c r="C142" s="42" t="inlineStr">
        <is>
          <t>Клиентский портал</t>
        </is>
      </c>
      <c r="D142" s="42" t="inlineStr">
        <is>
          <t>Авторизация и роли</t>
        </is>
      </c>
      <c r="E142" s="43" t="n">
        <v>0.84</v>
      </c>
      <c r="F142" s="42" t="inlineStr">
        <is>
          <t>Да</t>
        </is>
      </c>
      <c r="G142" s="44">
        <f>IF(billInc&gt;0,ROUNDUP(tblLog[[#This Row],[Часы]]/billInc,0)*billInc,tblLog[[#This Row],[Часы]])</f>
        <v>1</v>
      </c>
      <c r="H142" s="45">
        <f>IFERROR(INDEX(tblRates[СтавкаКлиенту],MATCH(tblLog[[#This Row],[Сотрудник]],tblRates[Сотрудник],0)),0)</f>
        <v>1900</v>
      </c>
      <c r="I142" s="45">
        <f>IF(tblLog[[#This Row],[Оплачиваемо]]=yesFlag,ROUND(tblLog[[#This Row],[ЧасыКОплате]]*tblLog[[#This Row],[Ставка]],2),0)</f>
        <v>1900</v>
      </c>
      <c r="J142" s="45">
        <f>IFERROR(INDEX(tblRates[СтавкаСотруднику],MATCH(tblLog[[#This Row],[Сотрудник]],tblRates[Сотрудник],0)),0)</f>
        <v>1200</v>
      </c>
      <c r="K142" s="45">
        <f>ROUND(tblLog[[#This Row],[Часы]]*tblLog[[#This Row],[СтавкаЗП]],2)</f>
        <v>1008</v>
      </c>
    </row>
    <row r="143">
      <c r="A143" s="41" t="n">
        <v>46273</v>
      </c>
      <c r="B143" s="42" t="inlineStr">
        <is>
          <t>Окафор Инес</t>
        </is>
      </c>
      <c r="C143" s="42" t="inlineStr">
        <is>
          <t>Клиентский портал</t>
        </is>
      </c>
      <c r="D143" s="42" t="inlineStr">
        <is>
          <t>Авторизация и роли</t>
        </is>
      </c>
      <c r="E143" s="43" t="n">
        <v>1.71</v>
      </c>
      <c r="F143" s="42" t="inlineStr">
        <is>
          <t>Нет</t>
        </is>
      </c>
      <c r="G143" s="44">
        <f>IF(billInc&gt;0,ROUNDUP(tblLog[[#This Row],[Часы]]/billInc,0)*billInc,tblLog[[#This Row],[Часы]])</f>
        <v>1.75</v>
      </c>
      <c r="H143" s="45">
        <f>IFERROR(INDEX(tblRates[СтавкаКлиенту],MATCH(tblLog[[#This Row],[Сотрудник]],tblRates[Сотрудник],0)),0)</f>
        <v>1900</v>
      </c>
      <c r="I143" s="45">
        <f>IF(tblLog[[#This Row],[Оплачиваемо]]=yesFlag,ROUND(tblLog[[#This Row],[ЧасыКОплате]]*tblLog[[#This Row],[Ставка]],2),0)</f>
        <v>0</v>
      </c>
      <c r="J143" s="45">
        <f>IFERROR(INDEX(tblRates[СтавкаСотруднику],MATCH(tblLog[[#This Row],[Сотрудник]],tblRates[Сотрудник],0)),0)</f>
        <v>1200</v>
      </c>
      <c r="K143" s="45">
        <f>ROUND(tblLog[[#This Row],[Часы]]*tblLog[[#This Row],[СтавкаЗП]],2)</f>
        <v>2052</v>
      </c>
    </row>
    <row r="144">
      <c r="A144" s="41" t="n">
        <v>46273</v>
      </c>
      <c r="B144" s="42" t="inlineStr">
        <is>
          <t>Окафор Инес</t>
        </is>
      </c>
      <c r="C144" s="42" t="inlineStr">
        <is>
          <t>Мобильное приложение для цеха</t>
        </is>
      </c>
      <c r="D144" s="42" t="inlineStr">
        <is>
          <t>Сканирование штрихкодов</t>
        </is>
      </c>
      <c r="E144" s="43" t="n">
        <v>0.78</v>
      </c>
      <c r="F144" s="42" t="inlineStr">
        <is>
          <t>Да</t>
        </is>
      </c>
      <c r="G144" s="44">
        <f>IF(billInc&gt;0,ROUNDUP(tblLog[[#This Row],[Часы]]/billInc,0)*billInc,tblLog[[#This Row],[Часы]])</f>
        <v>1</v>
      </c>
      <c r="H144" s="45">
        <f>IFERROR(INDEX(tblRates[СтавкаКлиенту],MATCH(tblLog[[#This Row],[Сотрудник]],tblRates[Сотрудник],0)),0)</f>
        <v>1900</v>
      </c>
      <c r="I144" s="45">
        <f>IF(tblLog[[#This Row],[Оплачиваемо]]=yesFlag,ROUND(tblLog[[#This Row],[ЧасыКОплате]]*tblLog[[#This Row],[Ставка]],2),0)</f>
        <v>1900</v>
      </c>
      <c r="J144" s="45">
        <f>IFERROR(INDEX(tblRates[СтавкаСотруднику],MATCH(tblLog[[#This Row],[Сотрудник]],tblRates[Сотрудник],0)),0)</f>
        <v>1200</v>
      </c>
      <c r="K144" s="45">
        <f>ROUND(tblLog[[#This Row],[Часы]]*tblLog[[#This Row],[СтавкаЗП]],2)</f>
        <v>936</v>
      </c>
    </row>
    <row r="145">
      <c r="A145" s="41" t="n">
        <v>46273</v>
      </c>
      <c r="B145" s="42" t="inlineStr">
        <is>
          <t>Сольберг Мира</t>
        </is>
      </c>
      <c r="C145" s="42" t="inlineStr">
        <is>
          <t>Мобильное приложение для цеха</t>
        </is>
      </c>
      <c r="D145" s="42" t="inlineStr">
        <is>
          <t>Сканирование штрихкодов</t>
        </is>
      </c>
      <c r="E145" s="43" t="n">
        <v>3.92</v>
      </c>
      <c r="F145" s="42" t="inlineStr">
        <is>
          <t>Да</t>
        </is>
      </c>
      <c r="G145" s="44">
        <f>IF(billInc&gt;0,ROUNDUP(tblLog[[#This Row],[Часы]]/billInc,0)*billInc,tblLog[[#This Row],[Часы]])</f>
        <v>4</v>
      </c>
      <c r="H145" s="45">
        <f>IFERROR(INDEX(tblRates[СтавкаКлиенту],MATCH(tblLog[[#This Row],[Сотрудник]],tblRates[Сотрудник],0)),0)</f>
        <v>3500</v>
      </c>
      <c r="I145" s="45">
        <f>IF(tblLog[[#This Row],[Оплачиваемо]]=yesFlag,ROUND(tblLog[[#This Row],[ЧасыКОплате]]*tblLog[[#This Row],[Ставка]],2),0)</f>
        <v>14000</v>
      </c>
      <c r="J145" s="45">
        <f>IFERROR(INDEX(tblRates[СтавкаСотруднику],MATCH(tblLog[[#This Row],[Сотрудник]],tblRates[Сотрудник],0)),0)</f>
        <v>2400</v>
      </c>
      <c r="K145" s="45">
        <f>ROUND(tblLog[[#This Row],[Часы]]*tblLog[[#This Row],[СтавкаЗП]],2)</f>
        <v>9408</v>
      </c>
    </row>
    <row r="146">
      <c r="A146" s="41" t="n">
        <v>46273</v>
      </c>
      <c r="B146" s="42" t="inlineStr">
        <is>
          <t>Сольберг Мира</t>
        </is>
      </c>
      <c r="C146" s="42" t="inlineStr">
        <is>
          <t>Мобильное приложение для цеха</t>
        </is>
      </c>
      <c r="D146" s="42" t="inlineStr">
        <is>
          <t>Офлайн-синхронизация</t>
        </is>
      </c>
      <c r="E146" s="43" t="n">
        <v>3.57</v>
      </c>
      <c r="F146" s="42" t="inlineStr">
        <is>
          <t>Да</t>
        </is>
      </c>
      <c r="G146" s="44">
        <f>IF(billInc&gt;0,ROUNDUP(tblLog[[#This Row],[Часы]]/billInc,0)*billInc,tblLog[[#This Row],[Часы]])</f>
        <v>3.75</v>
      </c>
      <c r="H146" s="45">
        <f>IFERROR(INDEX(tblRates[СтавкаКлиенту],MATCH(tblLog[[#This Row],[Сотрудник]],tblRates[Сотрудник],0)),0)</f>
        <v>3500</v>
      </c>
      <c r="I146" s="45">
        <f>IF(tblLog[[#This Row],[Оплачиваемо]]=yesFlag,ROUND(tblLog[[#This Row],[ЧасыКОплате]]*tblLog[[#This Row],[Ставка]],2),0)</f>
        <v>13125</v>
      </c>
      <c r="J146" s="45">
        <f>IFERROR(INDEX(tblRates[СтавкаСотруднику],MATCH(tblLog[[#This Row],[Сотрудник]],tblRates[Сотрудник],0)),0)</f>
        <v>2400</v>
      </c>
      <c r="K146" s="45">
        <f>ROUND(tblLog[[#This Row],[Часы]]*tblLog[[#This Row],[СтавкаЗП]],2)</f>
        <v>8568</v>
      </c>
    </row>
    <row r="147">
      <c r="A147" s="41" t="n">
        <v>46273</v>
      </c>
      <c r="B147" s="42" t="inlineStr">
        <is>
          <t>Сольберг Мира</t>
        </is>
      </c>
      <c r="C147" s="42" t="inlineStr">
        <is>
          <t>Мобильное приложение для цеха</t>
        </is>
      </c>
      <c r="D147" s="42" t="inlineStr">
        <is>
          <t>Офлайн-синхронизация</t>
        </is>
      </c>
      <c r="E147" s="43" t="n">
        <v>0.51</v>
      </c>
      <c r="F147" s="42" t="inlineStr">
        <is>
          <t>Да</t>
        </is>
      </c>
      <c r="G147" s="44">
        <f>IF(billInc&gt;0,ROUNDUP(tblLog[[#This Row],[Часы]]/billInc,0)*billInc,tblLog[[#This Row],[Часы]])</f>
        <v>0.75</v>
      </c>
      <c r="H147" s="45">
        <f>IFERROR(INDEX(tblRates[СтавкаКлиенту],MATCH(tblLog[[#This Row],[Сотрудник]],tblRates[Сотрудник],0)),0)</f>
        <v>3500</v>
      </c>
      <c r="I147" s="45">
        <f>IF(tblLog[[#This Row],[Оплачиваемо]]=yesFlag,ROUND(tblLog[[#This Row],[ЧасыКОплате]]*tblLog[[#This Row],[Ставка]],2),0)</f>
        <v>2625</v>
      </c>
      <c r="J147" s="45">
        <f>IFERROR(INDEX(tblRates[СтавкаСотруднику],MATCH(tblLog[[#This Row],[Сотрудник]],tblRates[Сотрудник],0)),0)</f>
        <v>2400</v>
      </c>
      <c r="K147" s="45">
        <f>ROUND(tblLog[[#This Row],[Часы]]*tblLog[[#This Row],[СтавкаЗП]],2)</f>
        <v>1224</v>
      </c>
    </row>
    <row r="148">
      <c r="A148" s="41" t="n">
        <v>46274</v>
      </c>
      <c r="B148" s="42" t="inlineStr">
        <is>
          <t>Бреннер Лука</t>
        </is>
      </c>
      <c r="C148" s="42" t="inlineStr">
        <is>
          <t>Клиентский портал</t>
        </is>
      </c>
      <c r="D148" s="42" t="inlineStr">
        <is>
          <t>Авторизация и роли</t>
        </is>
      </c>
      <c r="E148" s="43" t="n">
        <v>4.19</v>
      </c>
      <c r="F148" s="42" t="inlineStr">
        <is>
          <t>Да</t>
        </is>
      </c>
      <c r="G148" s="44">
        <f>IF(billInc&gt;0,ROUNDUP(tblLog[[#This Row],[Часы]]/billInc,0)*billInc,tblLog[[#This Row],[Часы]])</f>
        <v>4.25</v>
      </c>
      <c r="H148" s="45">
        <f>IFERROR(INDEX(tblRates[СтавкаКлиенту],MATCH(tblLog[[#This Row],[Сотрудник]],tblRates[Сотрудник],0)),0)</f>
        <v>2300</v>
      </c>
      <c r="I148" s="45">
        <f>IF(tblLog[[#This Row],[Оплачиваемо]]=yesFlag,ROUND(tblLog[[#This Row],[ЧасыКОплате]]*tblLog[[#This Row],[Ставка]],2),0)</f>
        <v>9775</v>
      </c>
      <c r="J148" s="45">
        <f>IFERROR(INDEX(tblRates[СтавкаСотруднику],MATCH(tblLog[[#This Row],[Сотрудник]],tblRates[Сотрудник],0)),0)</f>
        <v>1500</v>
      </c>
      <c r="K148" s="45">
        <f>ROUND(tblLog[[#This Row],[Часы]]*tblLog[[#This Row],[СтавкаЗП]],2)</f>
        <v>6285</v>
      </c>
    </row>
    <row r="149">
      <c r="A149" s="41" t="n">
        <v>46274</v>
      </c>
      <c r="B149" s="42" t="inlineStr">
        <is>
          <t>Бреннер Лука</t>
        </is>
      </c>
      <c r="C149" s="42" t="inlineStr">
        <is>
          <t>Клиентский портал</t>
        </is>
      </c>
      <c r="D149" s="42" t="inlineStr">
        <is>
          <t>Авторизация и роли</t>
        </is>
      </c>
      <c r="E149" s="43" t="n">
        <v>3.81</v>
      </c>
      <c r="F149" s="42" t="inlineStr">
        <is>
          <t>Нет</t>
        </is>
      </c>
      <c r="G149" s="44">
        <f>IF(billInc&gt;0,ROUNDUP(tblLog[[#This Row],[Часы]]/billInc,0)*billInc,tblLog[[#This Row],[Часы]])</f>
        <v>4</v>
      </c>
      <c r="H149" s="45">
        <f>IFERROR(INDEX(tblRates[СтавкаКлиенту],MATCH(tblLog[[#This Row],[Сотрудник]],tblRates[Сотрудник],0)),0)</f>
        <v>2300</v>
      </c>
      <c r="I149" s="45">
        <f>IF(tblLog[[#This Row],[Оплачиваемо]]=yesFlag,ROUND(tblLog[[#This Row],[ЧасыКОплате]]*tblLog[[#This Row],[Ставка]],2),0)</f>
        <v>0</v>
      </c>
      <c r="J149" s="45">
        <f>IFERROR(INDEX(tblRates[СтавкаСотруднику],MATCH(tblLog[[#This Row],[Сотрудник]],tblRates[Сотрудник],0)),0)</f>
        <v>1500</v>
      </c>
      <c r="K149" s="45">
        <f>ROUND(tblLog[[#This Row],[Часы]]*tblLog[[#This Row],[СтавкаЗП]],2)</f>
        <v>5715</v>
      </c>
    </row>
    <row r="150">
      <c r="A150" s="41" t="n">
        <v>46274</v>
      </c>
      <c r="B150" s="42" t="inlineStr">
        <is>
          <t>Варга Тео</t>
        </is>
      </c>
      <c r="C150" s="42" t="inlineStr">
        <is>
          <t>Мобильное приложение для цеха</t>
        </is>
      </c>
      <c r="D150" s="42" t="inlineStr">
        <is>
          <t>Сканирование штрихкодов</t>
        </is>
      </c>
      <c r="E150" s="43" t="n">
        <v>1.05</v>
      </c>
      <c r="F150" s="42" t="inlineStr">
        <is>
          <t>Да</t>
        </is>
      </c>
      <c r="G150" s="44">
        <f>IF(billInc&gt;0,ROUNDUP(tblLog[[#This Row],[Часы]]/billInc,0)*billInc,tblLog[[#This Row],[Часы]])</f>
        <v>1.25</v>
      </c>
      <c r="H150" s="45">
        <f>IFERROR(INDEX(tblRates[СтавкаКлиенту],MATCH(tblLog[[#This Row],[Сотрудник]],tblRates[Сотрудник],0)),0)</f>
        <v>2600</v>
      </c>
      <c r="I150" s="45">
        <f>IF(tblLog[[#This Row],[Оплачиваемо]]=yesFlag,ROUND(tblLog[[#This Row],[ЧасыКОплате]]*tblLog[[#This Row],[Ставка]],2),0)</f>
        <v>3250</v>
      </c>
      <c r="J150" s="45">
        <f>IFERROR(INDEX(tblRates[СтавкаСотруднику],MATCH(tblLog[[#This Row],[Сотрудник]],tblRates[Сотрудник],0)),0)</f>
        <v>1700</v>
      </c>
      <c r="K150" s="45">
        <f>ROUND(tblLog[[#This Row],[Часы]]*tblLog[[#This Row],[СтавкаЗП]],2)</f>
        <v>1785</v>
      </c>
    </row>
    <row r="151">
      <c r="A151" s="41" t="n">
        <v>46274</v>
      </c>
      <c r="B151" s="42" t="inlineStr">
        <is>
          <t>Варга Тео</t>
        </is>
      </c>
      <c r="C151" s="42" t="inlineStr">
        <is>
          <t>Клиентский портал</t>
        </is>
      </c>
      <c r="D151" s="42" t="inlineStr">
        <is>
          <t>Выгрузка отчётов</t>
        </is>
      </c>
      <c r="E151" s="43" t="n">
        <v>0.84</v>
      </c>
      <c r="F151" s="42" t="inlineStr">
        <is>
          <t>Да</t>
        </is>
      </c>
      <c r="G151" s="44">
        <f>IF(billInc&gt;0,ROUNDUP(tblLog[[#This Row],[Часы]]/billInc,0)*billInc,tblLog[[#This Row],[Часы]])</f>
        <v>1</v>
      </c>
      <c r="H151" s="45">
        <f>IFERROR(INDEX(tblRates[СтавкаКлиенту],MATCH(tblLog[[#This Row],[Сотрудник]],tblRates[Сотрудник],0)),0)</f>
        <v>2600</v>
      </c>
      <c r="I151" s="45">
        <f>IF(tblLog[[#This Row],[Оплачиваемо]]=yesFlag,ROUND(tblLog[[#This Row],[ЧасыКОплате]]*tblLog[[#This Row],[Ставка]],2),0)</f>
        <v>2600</v>
      </c>
      <c r="J151" s="45">
        <f>IFERROR(INDEX(tblRates[СтавкаСотруднику],MATCH(tblLog[[#This Row],[Сотрудник]],tblRates[Сотрудник],0)),0)</f>
        <v>1700</v>
      </c>
      <c r="K151" s="45">
        <f>ROUND(tblLog[[#This Row],[Часы]]*tblLog[[#This Row],[СтавкаЗП]],2)</f>
        <v>1428</v>
      </c>
    </row>
    <row r="152">
      <c r="A152" s="41" t="n">
        <v>46274</v>
      </c>
      <c r="B152" s="42" t="inlineStr">
        <is>
          <t>Варга Тео</t>
        </is>
      </c>
      <c r="C152" s="42" t="inlineStr">
        <is>
          <t>Клиентский портал</t>
        </is>
      </c>
      <c r="D152" s="42" t="inlineStr">
        <is>
          <t>Авторизация и роли</t>
        </is>
      </c>
      <c r="E152" s="43" t="n">
        <v>1.44</v>
      </c>
      <c r="F152" s="42" t="inlineStr">
        <is>
          <t>Нет</t>
        </is>
      </c>
      <c r="G152" s="44">
        <f>IF(billInc&gt;0,ROUNDUP(tblLog[[#This Row],[Часы]]/billInc,0)*billInc,tblLog[[#This Row],[Часы]])</f>
        <v>1.5</v>
      </c>
      <c r="H152" s="45">
        <f>IFERROR(INDEX(tblRates[СтавкаКлиенту],MATCH(tblLog[[#This Row],[Сотрудник]],tblRates[Сотрудник],0)),0)</f>
        <v>2600</v>
      </c>
      <c r="I152" s="45">
        <f>IF(tblLog[[#This Row],[Оплачиваемо]]=yesFlag,ROUND(tblLog[[#This Row],[ЧасыКОплате]]*tblLog[[#This Row],[Ставка]],2),0)</f>
        <v>0</v>
      </c>
      <c r="J152" s="45">
        <f>IFERROR(INDEX(tblRates[СтавкаСотруднику],MATCH(tblLog[[#This Row],[Сотрудник]],tblRates[Сотрудник],0)),0)</f>
        <v>1700</v>
      </c>
      <c r="K152" s="45">
        <f>ROUND(tblLog[[#This Row],[Часы]]*tblLog[[#This Row],[СтавкаЗП]],2)</f>
        <v>2448</v>
      </c>
    </row>
    <row r="153">
      <c r="A153" s="41" t="n">
        <v>46274</v>
      </c>
      <c r="B153" s="42" t="inlineStr">
        <is>
          <t>Варга Тео</t>
        </is>
      </c>
      <c r="C153" s="42" t="inlineStr">
        <is>
          <t>Мобильное приложение для цеха</t>
        </is>
      </c>
      <c r="D153" s="42" t="inlineStr">
        <is>
          <t>Сканирование штрихкодов</t>
        </is>
      </c>
      <c r="E153" s="43" t="n">
        <v>3.76</v>
      </c>
      <c r="F153" s="42" t="inlineStr">
        <is>
          <t>Да</t>
        </is>
      </c>
      <c r="G153" s="44">
        <f>IF(billInc&gt;0,ROUNDUP(tblLog[[#This Row],[Часы]]/billInc,0)*billInc,tblLog[[#This Row],[Часы]])</f>
        <v>4</v>
      </c>
      <c r="H153" s="45">
        <f>IFERROR(INDEX(tblRates[СтавкаКлиенту],MATCH(tblLog[[#This Row],[Сотрудник]],tblRates[Сотрудник],0)),0)</f>
        <v>2600</v>
      </c>
      <c r="I153" s="45">
        <f>IF(tblLog[[#This Row],[Оплачиваемо]]=yesFlag,ROUND(tblLog[[#This Row],[ЧасыКОплате]]*tblLog[[#This Row],[Ставка]],2),0)</f>
        <v>10400</v>
      </c>
      <c r="J153" s="45">
        <f>IFERROR(INDEX(tblRates[СтавкаСотруднику],MATCH(tblLog[[#This Row],[Сотрудник]],tblRates[Сотрудник],0)),0)</f>
        <v>1700</v>
      </c>
      <c r="K153" s="45">
        <f>ROUND(tblLog[[#This Row],[Часы]]*tblLog[[#This Row],[СтавкаЗП]],2)</f>
        <v>6392</v>
      </c>
    </row>
    <row r="154">
      <c r="A154" s="41" t="n">
        <v>46274</v>
      </c>
      <c r="B154" s="42" t="inlineStr">
        <is>
          <t>Варга Тео</t>
        </is>
      </c>
      <c r="C154" s="42" t="inlineStr">
        <is>
          <t>Мобильное приложение для цеха</t>
        </is>
      </c>
      <c r="D154" s="42" t="inlineStr">
        <is>
          <t>Push-уведомления</t>
        </is>
      </c>
      <c r="E154" s="43" t="n">
        <v>0.91</v>
      </c>
      <c r="F154" s="42" t="inlineStr">
        <is>
          <t>Да</t>
        </is>
      </c>
      <c r="G154" s="44">
        <f>IF(billInc&gt;0,ROUNDUP(tblLog[[#This Row],[Часы]]/billInc,0)*billInc,tblLog[[#This Row],[Часы]])</f>
        <v>1</v>
      </c>
      <c r="H154" s="45">
        <f>IFERROR(INDEX(tblRates[СтавкаКлиенту],MATCH(tblLog[[#This Row],[Сотрудник]],tblRates[Сотрудник],0)),0)</f>
        <v>2600</v>
      </c>
      <c r="I154" s="45">
        <f>IF(tblLog[[#This Row],[Оплачиваемо]]=yesFlag,ROUND(tblLog[[#This Row],[ЧасыКОплате]]*tblLog[[#This Row],[Ставка]],2),0)</f>
        <v>2600</v>
      </c>
      <c r="J154" s="45">
        <f>IFERROR(INDEX(tblRates[СтавкаСотруднику],MATCH(tblLog[[#This Row],[Сотрудник]],tblRates[Сотрудник],0)),0)</f>
        <v>1700</v>
      </c>
      <c r="K154" s="45">
        <f>ROUND(tblLog[[#This Row],[Часы]]*tblLog[[#This Row],[СтавкаЗП]],2)</f>
        <v>1547</v>
      </c>
    </row>
    <row r="155">
      <c r="A155" s="41" t="n">
        <v>46274</v>
      </c>
      <c r="B155" s="42" t="inlineStr">
        <is>
          <t>Окафор Инес</t>
        </is>
      </c>
      <c r="C155" s="42" t="inlineStr">
        <is>
          <t>Мобильное приложение для цеха</t>
        </is>
      </c>
      <c r="D155" s="42" t="inlineStr">
        <is>
          <t>Сканирование штрихкодов</t>
        </is>
      </c>
      <c r="E155" s="43" t="n">
        <v>2.33</v>
      </c>
      <c r="F155" s="42" t="inlineStr">
        <is>
          <t>Да</t>
        </is>
      </c>
      <c r="G155" s="44">
        <f>IF(billInc&gt;0,ROUNDUP(tblLog[[#This Row],[Часы]]/billInc,0)*billInc,tblLog[[#This Row],[Часы]])</f>
        <v>2.5</v>
      </c>
      <c r="H155" s="45">
        <f>IFERROR(INDEX(tblRates[СтавкаКлиенту],MATCH(tblLog[[#This Row],[Сотрудник]],tblRates[Сотрудник],0)),0)</f>
        <v>1900</v>
      </c>
      <c r="I155" s="45">
        <f>IF(tblLog[[#This Row],[Оплачиваемо]]=yesFlag,ROUND(tblLog[[#This Row],[ЧасыКОплате]]*tblLog[[#This Row],[Ставка]],2),0)</f>
        <v>4750</v>
      </c>
      <c r="J155" s="45">
        <f>IFERROR(INDEX(tblRates[СтавкаСотруднику],MATCH(tblLog[[#This Row],[Сотрудник]],tblRates[Сотрудник],0)),0)</f>
        <v>1200</v>
      </c>
      <c r="K155" s="45">
        <f>ROUND(tblLog[[#This Row],[Часы]]*tblLog[[#This Row],[СтавкаЗП]],2)</f>
        <v>2796</v>
      </c>
    </row>
    <row r="156">
      <c r="A156" s="41" t="n">
        <v>46274</v>
      </c>
      <c r="B156" s="42" t="inlineStr">
        <is>
          <t>Окафор Инес</t>
        </is>
      </c>
      <c r="C156" s="42" t="inlineStr">
        <is>
          <t>Мобильное приложение для цеха</t>
        </is>
      </c>
      <c r="D156" s="42" t="inlineStr">
        <is>
          <t>Сканирование штрихкодов</t>
        </is>
      </c>
      <c r="E156" s="43" t="n">
        <v>3.46</v>
      </c>
      <c r="F156" s="42" t="inlineStr">
        <is>
          <t>Да</t>
        </is>
      </c>
      <c r="G156" s="44">
        <f>IF(billInc&gt;0,ROUNDUP(tblLog[[#This Row],[Часы]]/billInc,0)*billInc,tblLog[[#This Row],[Часы]])</f>
        <v>3.5</v>
      </c>
      <c r="H156" s="45">
        <f>IFERROR(INDEX(tblRates[СтавкаКлиенту],MATCH(tblLog[[#This Row],[Сотрудник]],tblRates[Сотрудник],0)),0)</f>
        <v>1900</v>
      </c>
      <c r="I156" s="45">
        <f>IF(tblLog[[#This Row],[Оплачиваемо]]=yesFlag,ROUND(tblLog[[#This Row],[ЧасыКОплате]]*tblLog[[#This Row],[Ставка]],2),0)</f>
        <v>6650</v>
      </c>
      <c r="J156" s="45">
        <f>IFERROR(INDEX(tblRates[СтавкаСотруднику],MATCH(tblLog[[#This Row],[Сотрудник]],tblRates[Сотрудник],0)),0)</f>
        <v>1200</v>
      </c>
      <c r="K156" s="45">
        <f>ROUND(tblLog[[#This Row],[Часы]]*tblLog[[#This Row],[СтавкаЗП]],2)</f>
        <v>4152</v>
      </c>
    </row>
    <row r="157">
      <c r="A157" s="41" t="n">
        <v>46274</v>
      </c>
      <c r="B157" s="42" t="inlineStr">
        <is>
          <t>Окафор Инес</t>
        </is>
      </c>
      <c r="C157" s="42" t="inlineStr">
        <is>
          <t>Клиентский портал</t>
        </is>
      </c>
      <c r="D157" s="42" t="inlineStr">
        <is>
          <t>Авторизация и роли</t>
        </is>
      </c>
      <c r="E157" s="43" t="n">
        <v>2.21</v>
      </c>
      <c r="F157" s="42" t="inlineStr">
        <is>
          <t>Да</t>
        </is>
      </c>
      <c r="G157" s="44">
        <f>IF(billInc&gt;0,ROUNDUP(tblLog[[#This Row],[Часы]]/billInc,0)*billInc,tblLog[[#This Row],[Часы]])</f>
        <v>2.25</v>
      </c>
      <c r="H157" s="45">
        <f>IFERROR(INDEX(tblRates[СтавкаКлиенту],MATCH(tblLog[[#This Row],[Сотрудник]],tblRates[Сотрудник],0)),0)</f>
        <v>1900</v>
      </c>
      <c r="I157" s="45">
        <f>IF(tblLog[[#This Row],[Оплачиваемо]]=yesFlag,ROUND(tblLog[[#This Row],[ЧасыКОплате]]*tblLog[[#This Row],[Ставка]],2),0)</f>
        <v>4275</v>
      </c>
      <c r="J157" s="45">
        <f>IFERROR(INDEX(tblRates[СтавкаСотруднику],MATCH(tblLog[[#This Row],[Сотрудник]],tblRates[Сотрудник],0)),0)</f>
        <v>1200</v>
      </c>
      <c r="K157" s="45">
        <f>ROUND(tblLog[[#This Row],[Часы]]*tblLog[[#This Row],[СтавкаЗП]],2)</f>
        <v>2652</v>
      </c>
    </row>
    <row r="158">
      <c r="A158" s="41" t="n">
        <v>46274</v>
      </c>
      <c r="B158" s="42" t="inlineStr">
        <is>
          <t>Сольберг Мира</t>
        </is>
      </c>
      <c r="C158" s="42" t="inlineStr">
        <is>
          <t>Мобильное приложение для цеха</t>
        </is>
      </c>
      <c r="D158" s="42" t="inlineStr">
        <is>
          <t>Сканирование штрихкодов</t>
        </is>
      </c>
      <c r="E158" s="43" t="n">
        <v>1.21</v>
      </c>
      <c r="F158" s="42" t="inlineStr">
        <is>
          <t>Да</t>
        </is>
      </c>
      <c r="G158" s="44">
        <f>IF(billInc&gt;0,ROUNDUP(tblLog[[#This Row],[Часы]]/billInc,0)*billInc,tblLog[[#This Row],[Часы]])</f>
        <v>1.25</v>
      </c>
      <c r="H158" s="45">
        <f>IFERROR(INDEX(tblRates[СтавкаКлиенту],MATCH(tblLog[[#This Row],[Сотрудник]],tblRates[Сотрудник],0)),0)</f>
        <v>3500</v>
      </c>
      <c r="I158" s="45">
        <f>IF(tblLog[[#This Row],[Оплачиваемо]]=yesFlag,ROUND(tblLog[[#This Row],[ЧасыКОплате]]*tblLog[[#This Row],[Ставка]],2),0)</f>
        <v>4375</v>
      </c>
      <c r="J158" s="45">
        <f>IFERROR(INDEX(tblRates[СтавкаСотруднику],MATCH(tblLog[[#This Row],[Сотрудник]],tblRates[Сотрудник],0)),0)</f>
        <v>2400</v>
      </c>
      <c r="K158" s="45">
        <f>ROUND(tblLog[[#This Row],[Часы]]*tblLog[[#This Row],[СтавкаЗП]],2)</f>
        <v>2904</v>
      </c>
    </row>
    <row r="159">
      <c r="A159" s="41" t="n">
        <v>46274</v>
      </c>
      <c r="B159" s="42" t="inlineStr">
        <is>
          <t>Сольберг Мира</t>
        </is>
      </c>
      <c r="C159" s="42" t="inlineStr">
        <is>
          <t>Поддержка</t>
        </is>
      </c>
      <c r="D159" s="42" t="inlineStr">
        <is>
          <t>Созвон с клиентом</t>
        </is>
      </c>
      <c r="E159" s="43" t="n">
        <v>3.96</v>
      </c>
      <c r="F159" s="42" t="inlineStr">
        <is>
          <t>Да</t>
        </is>
      </c>
      <c r="G159" s="44">
        <f>IF(billInc&gt;0,ROUNDUP(tblLog[[#This Row],[Часы]]/billInc,0)*billInc,tblLog[[#This Row],[Часы]])</f>
        <v>4</v>
      </c>
      <c r="H159" s="45">
        <f>IFERROR(INDEX(tblRates[СтавкаКлиенту],MATCH(tblLog[[#This Row],[Сотрудник]],tblRates[Сотрудник],0)),0)</f>
        <v>3500</v>
      </c>
      <c r="I159" s="45">
        <f>IF(tblLog[[#This Row],[Оплачиваемо]]=yesFlag,ROUND(tblLog[[#This Row],[ЧасыКОплате]]*tblLog[[#This Row],[Ставка]],2),0)</f>
        <v>14000</v>
      </c>
      <c r="J159" s="45">
        <f>IFERROR(INDEX(tblRates[СтавкаСотруднику],MATCH(tblLog[[#This Row],[Сотрудник]],tblRates[Сотрудник],0)),0)</f>
        <v>2400</v>
      </c>
      <c r="K159" s="45">
        <f>ROUND(tblLog[[#This Row],[Часы]]*tblLog[[#This Row],[СтавкаЗП]],2)</f>
        <v>9504</v>
      </c>
    </row>
    <row r="160">
      <c r="A160" s="41" t="n">
        <v>46274</v>
      </c>
      <c r="B160" s="42" t="inlineStr">
        <is>
          <t>Сольберг Мира</t>
        </is>
      </c>
      <c r="C160" s="42" t="inlineStr">
        <is>
          <t>Клиентский портал</t>
        </is>
      </c>
      <c r="D160" s="42" t="inlineStr">
        <is>
          <t>Выгрузка отчётов</t>
        </is>
      </c>
      <c r="E160" s="43" t="n">
        <v>2.03</v>
      </c>
      <c r="F160" s="42" t="inlineStr">
        <is>
          <t>Да</t>
        </is>
      </c>
      <c r="G160" s="44">
        <f>IF(billInc&gt;0,ROUNDUP(tblLog[[#This Row],[Часы]]/billInc,0)*billInc,tblLog[[#This Row],[Часы]])</f>
        <v>2.25</v>
      </c>
      <c r="H160" s="45">
        <f>IFERROR(INDEX(tblRates[СтавкаКлиенту],MATCH(tblLog[[#This Row],[Сотрудник]],tblRates[Сотрудник],0)),0)</f>
        <v>3500</v>
      </c>
      <c r="I160" s="45">
        <f>IF(tblLog[[#This Row],[Оплачиваемо]]=yesFlag,ROUND(tblLog[[#This Row],[ЧасыКОплате]]*tblLog[[#This Row],[Ставка]],2),0)</f>
        <v>7875</v>
      </c>
      <c r="J160" s="45">
        <f>IFERROR(INDEX(tblRates[СтавкаСотруднику],MATCH(tblLog[[#This Row],[Сотрудник]],tblRates[Сотрудник],0)),0)</f>
        <v>2400</v>
      </c>
      <c r="K160" s="45">
        <f>ROUND(tblLog[[#This Row],[Часы]]*tblLog[[#This Row],[СтавкаЗП]],2)</f>
        <v>4872</v>
      </c>
    </row>
    <row r="161">
      <c r="A161" s="41" t="n">
        <v>46274</v>
      </c>
      <c r="B161" s="42" t="inlineStr">
        <is>
          <t>Сольберг Мира</t>
        </is>
      </c>
      <c r="C161" s="42" t="inlineStr">
        <is>
          <t>Клиентский портал</t>
        </is>
      </c>
      <c r="D161" s="42" t="inlineStr">
        <is>
          <t>Код-ревью</t>
        </is>
      </c>
      <c r="E161" s="43" t="n">
        <v>0.8</v>
      </c>
      <c r="F161" s="42" t="inlineStr">
        <is>
          <t>Да</t>
        </is>
      </c>
      <c r="G161" s="44">
        <f>IF(billInc&gt;0,ROUNDUP(tblLog[[#This Row],[Часы]]/billInc,0)*billInc,tblLog[[#This Row],[Часы]])</f>
        <v>1</v>
      </c>
      <c r="H161" s="45">
        <f>IFERROR(INDEX(tblRates[СтавкаКлиенту],MATCH(tblLog[[#This Row],[Сотрудник]],tblRates[Сотрудник],0)),0)</f>
        <v>3500</v>
      </c>
      <c r="I161" s="45">
        <f>IF(tblLog[[#This Row],[Оплачиваемо]]=yesFlag,ROUND(tblLog[[#This Row],[ЧасыКОплате]]*tblLog[[#This Row],[Ставка]],2),0)</f>
        <v>3500</v>
      </c>
      <c r="J161" s="45">
        <f>IFERROR(INDEX(tblRates[СтавкаСотруднику],MATCH(tblLog[[#This Row],[Сотрудник]],tblRates[Сотрудник],0)),0)</f>
        <v>2400</v>
      </c>
      <c r="K161" s="45">
        <f>ROUND(tblLog[[#This Row],[Часы]]*tblLog[[#This Row],[СтавкаЗП]],2)</f>
        <v>1920</v>
      </c>
    </row>
    <row r="162">
      <c r="A162" s="41" t="n">
        <v>46275</v>
      </c>
      <c r="B162" s="42" t="inlineStr">
        <is>
          <t>Бреннер Лука</t>
        </is>
      </c>
      <c r="C162" s="42" t="inlineStr">
        <is>
          <t>Клиентский портал</t>
        </is>
      </c>
      <c r="D162" s="42" t="inlineStr">
        <is>
          <t>Выгрузка отчётов</t>
        </is>
      </c>
      <c r="E162" s="43" t="n">
        <v>3.19</v>
      </c>
      <c r="F162" s="42" t="inlineStr">
        <is>
          <t>Да</t>
        </is>
      </c>
      <c r="G162" s="44">
        <f>IF(billInc&gt;0,ROUNDUP(tblLog[[#This Row],[Часы]]/billInc,0)*billInc,tblLog[[#This Row],[Часы]])</f>
        <v>3.25</v>
      </c>
      <c r="H162" s="45">
        <f>IFERROR(INDEX(tblRates[СтавкаКлиенту],MATCH(tblLog[[#This Row],[Сотрудник]],tblRates[Сотрудник],0)),0)</f>
        <v>2300</v>
      </c>
      <c r="I162" s="45">
        <f>IF(tblLog[[#This Row],[Оплачиваемо]]=yesFlag,ROUND(tblLog[[#This Row],[ЧасыКОплате]]*tblLog[[#This Row],[Ставка]],2),0)</f>
        <v>7475</v>
      </c>
      <c r="J162" s="45">
        <f>IFERROR(INDEX(tblRates[СтавкаСотруднику],MATCH(tblLog[[#This Row],[Сотрудник]],tblRates[Сотрудник],0)),0)</f>
        <v>1500</v>
      </c>
      <c r="K162" s="45">
        <f>ROUND(tblLog[[#This Row],[Часы]]*tblLog[[#This Row],[СтавкаЗП]],2)</f>
        <v>4785</v>
      </c>
    </row>
    <row r="163">
      <c r="A163" s="41" t="n">
        <v>46275</v>
      </c>
      <c r="B163" s="42" t="inlineStr">
        <is>
          <t>Бреннер Лука</t>
        </is>
      </c>
      <c r="C163" s="42" t="inlineStr">
        <is>
          <t>Клиентский портал</t>
        </is>
      </c>
      <c r="D163" s="42" t="inlineStr">
        <is>
          <t>Страница статуса заказа</t>
        </is>
      </c>
      <c r="E163" s="43" t="n">
        <v>3.87</v>
      </c>
      <c r="F163" s="42" t="inlineStr">
        <is>
          <t>Да</t>
        </is>
      </c>
      <c r="G163" s="44">
        <f>IF(billInc&gt;0,ROUNDUP(tblLog[[#This Row],[Часы]]/billInc,0)*billInc,tblLog[[#This Row],[Часы]])</f>
        <v>4</v>
      </c>
      <c r="H163" s="45">
        <f>IFERROR(INDEX(tblRates[СтавкаКлиенту],MATCH(tblLog[[#This Row],[Сотрудник]],tblRates[Сотрудник],0)),0)</f>
        <v>2300</v>
      </c>
      <c r="I163" s="45">
        <f>IF(tblLog[[#This Row],[Оплачиваемо]]=yesFlag,ROUND(tblLog[[#This Row],[ЧасыКОплате]]*tblLog[[#This Row],[Ставка]],2),0)</f>
        <v>9200</v>
      </c>
      <c r="J163" s="45">
        <f>IFERROR(INDEX(tblRates[СтавкаСотруднику],MATCH(tblLog[[#This Row],[Сотрудник]],tblRates[Сотрудник],0)),0)</f>
        <v>1500</v>
      </c>
      <c r="K163" s="45">
        <f>ROUND(tblLog[[#This Row],[Часы]]*tblLog[[#This Row],[СтавкаЗП]],2)</f>
        <v>5805</v>
      </c>
    </row>
    <row r="164">
      <c r="A164" s="41" t="n">
        <v>46275</v>
      </c>
      <c r="B164" s="42" t="inlineStr">
        <is>
          <t>Бреннер Лука</t>
        </is>
      </c>
      <c r="C164" s="42" t="inlineStr">
        <is>
          <t>Клиентский портал</t>
        </is>
      </c>
      <c r="D164" s="42" t="inlineStr">
        <is>
          <t>Авторизация и роли</t>
        </is>
      </c>
      <c r="E164" s="43" t="n">
        <v>0.9399999999999999</v>
      </c>
      <c r="F164" s="42" t="inlineStr">
        <is>
          <t>Да</t>
        </is>
      </c>
      <c r="G164" s="44">
        <f>IF(billInc&gt;0,ROUNDUP(tblLog[[#This Row],[Часы]]/billInc,0)*billInc,tblLog[[#This Row],[Часы]])</f>
        <v>1</v>
      </c>
      <c r="H164" s="45">
        <f>IFERROR(INDEX(tblRates[СтавкаКлиенту],MATCH(tblLog[[#This Row],[Сотрудник]],tblRates[Сотрудник],0)),0)</f>
        <v>2300</v>
      </c>
      <c r="I164" s="45">
        <f>IF(tblLog[[#This Row],[Оплачиваемо]]=yesFlag,ROUND(tblLog[[#This Row],[ЧасыКОплате]]*tblLog[[#This Row],[Ставка]],2),0)</f>
        <v>2300</v>
      </c>
      <c r="J164" s="45">
        <f>IFERROR(INDEX(tblRates[СтавкаСотруднику],MATCH(tblLog[[#This Row],[Сотрудник]],tblRates[Сотрудник],0)),0)</f>
        <v>1500</v>
      </c>
      <c r="K164" s="45">
        <f>ROUND(tblLog[[#This Row],[Часы]]*tblLog[[#This Row],[СтавкаЗП]],2)</f>
        <v>1410</v>
      </c>
    </row>
    <row r="165">
      <c r="A165" s="41" t="n">
        <v>46275</v>
      </c>
      <c r="B165" s="42" t="inlineStr">
        <is>
          <t>Варга Тео</t>
        </is>
      </c>
      <c r="C165" s="42" t="inlineStr">
        <is>
          <t>Клиентский портал</t>
        </is>
      </c>
      <c r="D165" s="42" t="inlineStr">
        <is>
          <t>Выгрузка отчётов</t>
        </is>
      </c>
      <c r="E165" s="43" t="n">
        <v>3.66</v>
      </c>
      <c r="F165" s="42" t="inlineStr">
        <is>
          <t>Да</t>
        </is>
      </c>
      <c r="G165" s="44">
        <f>IF(billInc&gt;0,ROUNDUP(tblLog[[#This Row],[Часы]]/billInc,0)*billInc,tblLog[[#This Row],[Часы]])</f>
        <v>3.75</v>
      </c>
      <c r="H165" s="45">
        <f>IFERROR(INDEX(tblRates[СтавкаКлиенту],MATCH(tblLog[[#This Row],[Сотрудник]],tblRates[Сотрудник],0)),0)</f>
        <v>2600</v>
      </c>
      <c r="I165" s="45">
        <f>IF(tblLog[[#This Row],[Оплачиваемо]]=yesFlag,ROUND(tblLog[[#This Row],[ЧасыКОплате]]*tblLog[[#This Row],[Ставка]],2),0)</f>
        <v>9750</v>
      </c>
      <c r="J165" s="45">
        <f>IFERROR(INDEX(tblRates[СтавкаСотруднику],MATCH(tblLog[[#This Row],[Сотрудник]],tblRates[Сотрудник],0)),0)</f>
        <v>1700</v>
      </c>
      <c r="K165" s="45">
        <f>ROUND(tblLog[[#This Row],[Часы]]*tblLog[[#This Row],[СтавкаЗП]],2)</f>
        <v>6222</v>
      </c>
    </row>
    <row r="166">
      <c r="A166" s="41" t="n">
        <v>46275</v>
      </c>
      <c r="B166" s="42" t="inlineStr">
        <is>
          <t>Варга Тео</t>
        </is>
      </c>
      <c r="C166" s="42" t="inlineStr">
        <is>
          <t>Мобильное приложение для цеха</t>
        </is>
      </c>
      <c r="D166" s="42" t="inlineStr">
        <is>
          <t>Сканирование штрихкодов</t>
        </is>
      </c>
      <c r="E166" s="43" t="n">
        <v>1.64</v>
      </c>
      <c r="F166" s="42" t="inlineStr">
        <is>
          <t>Да</t>
        </is>
      </c>
      <c r="G166" s="44">
        <f>IF(billInc&gt;0,ROUNDUP(tblLog[[#This Row],[Часы]]/billInc,0)*billInc,tblLog[[#This Row],[Часы]])</f>
        <v>1.75</v>
      </c>
      <c r="H166" s="45">
        <f>IFERROR(INDEX(tblRates[СтавкаКлиенту],MATCH(tblLog[[#This Row],[Сотрудник]],tblRates[Сотрудник],0)),0)</f>
        <v>2600</v>
      </c>
      <c r="I166" s="45">
        <f>IF(tblLog[[#This Row],[Оплачиваемо]]=yesFlag,ROUND(tblLog[[#This Row],[ЧасыКОплате]]*tblLog[[#This Row],[Ставка]],2),0)</f>
        <v>4550</v>
      </c>
      <c r="J166" s="45">
        <f>IFERROR(INDEX(tblRates[СтавкаСотруднику],MATCH(tblLog[[#This Row],[Сотрудник]],tblRates[Сотрудник],0)),0)</f>
        <v>1700</v>
      </c>
      <c r="K166" s="45">
        <f>ROUND(tblLog[[#This Row],[Часы]]*tblLog[[#This Row],[СтавкаЗП]],2)</f>
        <v>2788</v>
      </c>
    </row>
    <row r="167">
      <c r="A167" s="41" t="n">
        <v>46275</v>
      </c>
      <c r="B167" s="42" t="inlineStr">
        <is>
          <t>Варга Тео</t>
        </is>
      </c>
      <c r="C167" s="42" t="inlineStr">
        <is>
          <t>Мобильное приложение для цеха</t>
        </is>
      </c>
      <c r="D167" s="42" t="inlineStr">
        <is>
          <t>Сканирование штрихкодов</t>
        </is>
      </c>
      <c r="E167" s="43" t="n">
        <v>2.7</v>
      </c>
      <c r="F167" s="42" t="inlineStr">
        <is>
          <t>Да</t>
        </is>
      </c>
      <c r="G167" s="44">
        <f>IF(billInc&gt;0,ROUNDUP(tblLog[[#This Row],[Часы]]/billInc,0)*billInc,tblLog[[#This Row],[Часы]])</f>
        <v>2.75</v>
      </c>
      <c r="H167" s="45">
        <f>IFERROR(INDEX(tblRates[СтавкаКлиенту],MATCH(tblLog[[#This Row],[Сотрудник]],tblRates[Сотрудник],0)),0)</f>
        <v>2600</v>
      </c>
      <c r="I167" s="45">
        <f>IF(tblLog[[#This Row],[Оплачиваемо]]=yesFlag,ROUND(tblLog[[#This Row],[ЧасыКОплате]]*tblLog[[#This Row],[Ставка]],2),0)</f>
        <v>7150</v>
      </c>
      <c r="J167" s="45">
        <f>IFERROR(INDEX(tblRates[СтавкаСотруднику],MATCH(tblLog[[#This Row],[Сотрудник]],tblRates[Сотрудник],0)),0)</f>
        <v>1700</v>
      </c>
      <c r="K167" s="45">
        <f>ROUND(tblLog[[#This Row],[Часы]]*tblLog[[#This Row],[СтавкаЗП]],2)</f>
        <v>4590</v>
      </c>
    </row>
    <row r="168">
      <c r="A168" s="41" t="n">
        <v>46275</v>
      </c>
      <c r="B168" s="42" t="inlineStr">
        <is>
          <t>Окафор Инес</t>
        </is>
      </c>
      <c r="C168" s="42" t="inlineStr">
        <is>
          <t>Клиентский портал</t>
        </is>
      </c>
      <c r="D168" s="42" t="inlineStr">
        <is>
          <t>Авторизация и роли</t>
        </is>
      </c>
      <c r="E168" s="43" t="n">
        <v>3.05</v>
      </c>
      <c r="F168" s="42" t="inlineStr">
        <is>
          <t>Да</t>
        </is>
      </c>
      <c r="G168" s="44">
        <f>IF(billInc&gt;0,ROUNDUP(tblLog[[#This Row],[Часы]]/billInc,0)*billInc,tblLog[[#This Row],[Часы]])</f>
        <v>3.25</v>
      </c>
      <c r="H168" s="45">
        <f>IFERROR(INDEX(tblRates[СтавкаКлиенту],MATCH(tblLog[[#This Row],[Сотрудник]],tblRates[Сотрудник],0)),0)</f>
        <v>1900</v>
      </c>
      <c r="I168" s="45">
        <f>IF(tblLog[[#This Row],[Оплачиваемо]]=yesFlag,ROUND(tblLog[[#This Row],[ЧасыКОплате]]*tblLog[[#This Row],[Ставка]],2),0)</f>
        <v>6175</v>
      </c>
      <c r="J168" s="45">
        <f>IFERROR(INDEX(tblRates[СтавкаСотруднику],MATCH(tblLog[[#This Row],[Сотрудник]],tblRates[Сотрудник],0)),0)</f>
        <v>1200</v>
      </c>
      <c r="K168" s="45">
        <f>ROUND(tblLog[[#This Row],[Часы]]*tblLog[[#This Row],[СтавкаЗП]],2)</f>
        <v>3660</v>
      </c>
    </row>
    <row r="169">
      <c r="A169" s="41" t="n">
        <v>46275</v>
      </c>
      <c r="B169" s="42" t="inlineStr">
        <is>
          <t>Окафор Инес</t>
        </is>
      </c>
      <c r="C169" s="42" t="inlineStr">
        <is>
          <t>Клиентский портал</t>
        </is>
      </c>
      <c r="D169" s="42" t="inlineStr">
        <is>
          <t>Авторизация и роли</t>
        </is>
      </c>
      <c r="E169" s="43" t="n">
        <v>1.64</v>
      </c>
      <c r="F169" s="42" t="inlineStr">
        <is>
          <t>Да</t>
        </is>
      </c>
      <c r="G169" s="44">
        <f>IF(billInc&gt;0,ROUNDUP(tblLog[[#This Row],[Часы]]/billInc,0)*billInc,tblLog[[#This Row],[Часы]])</f>
        <v>1.75</v>
      </c>
      <c r="H169" s="45">
        <f>IFERROR(INDEX(tblRates[СтавкаКлиенту],MATCH(tblLog[[#This Row],[Сотрудник]],tblRates[Сотрудник],0)),0)</f>
        <v>1900</v>
      </c>
      <c r="I169" s="45">
        <f>IF(tblLog[[#This Row],[Оплачиваемо]]=yesFlag,ROUND(tblLog[[#This Row],[ЧасыКОплате]]*tblLog[[#This Row],[Ставка]],2),0)</f>
        <v>3325</v>
      </c>
      <c r="J169" s="45">
        <f>IFERROR(INDEX(tblRates[СтавкаСотруднику],MATCH(tblLog[[#This Row],[Сотрудник]],tblRates[Сотрудник],0)),0)</f>
        <v>1200</v>
      </c>
      <c r="K169" s="45">
        <f>ROUND(tblLog[[#This Row],[Часы]]*tblLog[[#This Row],[СтавкаЗП]],2)</f>
        <v>1968</v>
      </c>
    </row>
    <row r="170">
      <c r="A170" s="41" t="n">
        <v>46275</v>
      </c>
      <c r="B170" s="42" t="inlineStr">
        <is>
          <t>Окафор Инес</t>
        </is>
      </c>
      <c r="C170" s="42" t="inlineStr">
        <is>
          <t>Поддержка</t>
        </is>
      </c>
      <c r="D170" s="42" t="inlineStr">
        <is>
          <t>Исправление ошибок</t>
        </is>
      </c>
      <c r="E170" s="43" t="n">
        <v>1.75</v>
      </c>
      <c r="F170" s="42" t="inlineStr">
        <is>
          <t>Да</t>
        </is>
      </c>
      <c r="G170" s="44">
        <f>IF(billInc&gt;0,ROUNDUP(tblLog[[#This Row],[Часы]]/billInc,0)*billInc,tblLog[[#This Row],[Часы]])</f>
        <v>1.75</v>
      </c>
      <c r="H170" s="45">
        <f>IFERROR(INDEX(tblRates[СтавкаКлиенту],MATCH(tblLog[[#This Row],[Сотрудник]],tblRates[Сотрудник],0)),0)</f>
        <v>1900</v>
      </c>
      <c r="I170" s="45">
        <f>IF(tblLog[[#This Row],[Оплачиваемо]]=yesFlag,ROUND(tblLog[[#This Row],[ЧасыКОплате]]*tblLog[[#This Row],[Ставка]],2),0)</f>
        <v>3325</v>
      </c>
      <c r="J170" s="45">
        <f>IFERROR(INDEX(tblRates[СтавкаСотруднику],MATCH(tblLog[[#This Row],[Сотрудник]],tblRates[Сотрудник],0)),0)</f>
        <v>1200</v>
      </c>
      <c r="K170" s="45">
        <f>ROUND(tblLog[[#This Row],[Часы]]*tblLog[[#This Row],[СтавкаЗП]],2)</f>
        <v>2100</v>
      </c>
    </row>
    <row r="171">
      <c r="A171" s="41" t="n">
        <v>46275</v>
      </c>
      <c r="B171" s="42" t="inlineStr">
        <is>
          <t>Окафор Инес</t>
        </is>
      </c>
      <c r="C171" s="42" t="inlineStr">
        <is>
          <t>Мобильное приложение для цеха</t>
        </is>
      </c>
      <c r="D171" s="42" t="inlineStr">
        <is>
          <t>Офлайн-синхронизация</t>
        </is>
      </c>
      <c r="E171" s="43" t="n">
        <v>2.06</v>
      </c>
      <c r="F171" s="42" t="inlineStr">
        <is>
          <t>Да</t>
        </is>
      </c>
      <c r="G171" s="44">
        <f>IF(billInc&gt;0,ROUNDUP(tblLog[[#This Row],[Часы]]/billInc,0)*billInc,tblLog[[#This Row],[Часы]])</f>
        <v>2.25</v>
      </c>
      <c r="H171" s="45">
        <f>IFERROR(INDEX(tblRates[СтавкаКлиенту],MATCH(tblLog[[#This Row],[Сотрудник]],tblRates[Сотрудник],0)),0)</f>
        <v>1900</v>
      </c>
      <c r="I171" s="45">
        <f>IF(tblLog[[#This Row],[Оплачиваемо]]=yesFlag,ROUND(tblLog[[#This Row],[ЧасыКОплате]]*tblLog[[#This Row],[Ставка]],2),0)</f>
        <v>4275</v>
      </c>
      <c r="J171" s="45">
        <f>IFERROR(INDEX(tblRates[СтавкаСотруднику],MATCH(tblLog[[#This Row],[Сотрудник]],tblRates[Сотрудник],0)),0)</f>
        <v>1200</v>
      </c>
      <c r="K171" s="45">
        <f>ROUND(tblLog[[#This Row],[Часы]]*tblLog[[#This Row],[СтавкаЗП]],2)</f>
        <v>2472</v>
      </c>
    </row>
    <row r="172">
      <c r="A172" s="41" t="n">
        <v>46275</v>
      </c>
      <c r="B172" s="42" t="inlineStr">
        <is>
          <t>Сольберг Мира</t>
        </is>
      </c>
      <c r="C172" s="42" t="inlineStr">
        <is>
          <t>Клиентский портал</t>
        </is>
      </c>
      <c r="D172" s="42" t="inlineStr">
        <is>
          <t>Код-ревью</t>
        </is>
      </c>
      <c r="E172" s="43" t="n">
        <v>2.07</v>
      </c>
      <c r="F172" s="42" t="inlineStr">
        <is>
          <t>Да</t>
        </is>
      </c>
      <c r="G172" s="44">
        <f>IF(billInc&gt;0,ROUNDUP(tblLog[[#This Row],[Часы]]/billInc,0)*billInc,tblLog[[#This Row],[Часы]])</f>
        <v>2.25</v>
      </c>
      <c r="H172" s="45">
        <f>IFERROR(INDEX(tblRates[СтавкаКлиенту],MATCH(tblLog[[#This Row],[Сотрудник]],tblRates[Сотрудник],0)),0)</f>
        <v>3500</v>
      </c>
      <c r="I172" s="45">
        <f>IF(tblLog[[#This Row],[Оплачиваемо]]=yesFlag,ROUND(tblLog[[#This Row],[ЧасыКОплате]]*tblLog[[#This Row],[Ставка]],2),0)</f>
        <v>7875</v>
      </c>
      <c r="J172" s="45">
        <f>IFERROR(INDEX(tblRates[СтавкаСотруднику],MATCH(tblLog[[#This Row],[Сотрудник]],tblRates[Сотрудник],0)),0)</f>
        <v>2400</v>
      </c>
      <c r="K172" s="45">
        <f>ROUND(tblLog[[#This Row],[Часы]]*tblLog[[#This Row],[СтавкаЗП]],2)</f>
        <v>4968</v>
      </c>
    </row>
    <row r="173">
      <c r="A173" s="41" t="n">
        <v>46275</v>
      </c>
      <c r="B173" s="42" t="inlineStr">
        <is>
          <t>Сольберг Мира</t>
        </is>
      </c>
      <c r="C173" s="42" t="inlineStr">
        <is>
          <t>Клиентский портал</t>
        </is>
      </c>
      <c r="D173" s="42" t="inlineStr">
        <is>
          <t>Выгрузка отчётов</t>
        </is>
      </c>
      <c r="E173" s="43" t="n">
        <v>1.26</v>
      </c>
      <c r="F173" s="42" t="inlineStr">
        <is>
          <t>Да</t>
        </is>
      </c>
      <c r="G173" s="44">
        <f>IF(billInc&gt;0,ROUNDUP(tblLog[[#This Row],[Часы]]/billInc,0)*billInc,tblLog[[#This Row],[Часы]])</f>
        <v>1.5</v>
      </c>
      <c r="H173" s="45">
        <f>IFERROR(INDEX(tblRates[СтавкаКлиенту],MATCH(tblLog[[#This Row],[Сотрудник]],tblRates[Сотрудник],0)),0)</f>
        <v>3500</v>
      </c>
      <c r="I173" s="45">
        <f>IF(tblLog[[#This Row],[Оплачиваемо]]=yesFlag,ROUND(tblLog[[#This Row],[ЧасыКОплате]]*tblLog[[#This Row],[Ставка]],2),0)</f>
        <v>5250</v>
      </c>
      <c r="J173" s="45">
        <f>IFERROR(INDEX(tblRates[СтавкаСотруднику],MATCH(tblLog[[#This Row],[Сотрудник]],tblRates[Сотрудник],0)),0)</f>
        <v>2400</v>
      </c>
      <c r="K173" s="45">
        <f>ROUND(tblLog[[#This Row],[Часы]]*tblLog[[#This Row],[СтавкаЗП]],2)</f>
        <v>3024</v>
      </c>
    </row>
    <row r="174">
      <c r="A174" s="41" t="n">
        <v>46275</v>
      </c>
      <c r="B174" s="42" t="inlineStr">
        <is>
          <t>Сольберг Мира</t>
        </is>
      </c>
      <c r="C174" s="42" t="inlineStr">
        <is>
          <t>Клиентский портал</t>
        </is>
      </c>
      <c r="D174" s="42" t="inlineStr">
        <is>
          <t>Выгрузка отчётов</t>
        </is>
      </c>
      <c r="E174" s="43" t="n">
        <v>2.95</v>
      </c>
      <c r="F174" s="42" t="inlineStr">
        <is>
          <t>Да</t>
        </is>
      </c>
      <c r="G174" s="44">
        <f>IF(billInc&gt;0,ROUNDUP(tblLog[[#This Row],[Часы]]/billInc,0)*billInc,tblLog[[#This Row],[Часы]])</f>
        <v>3</v>
      </c>
      <c r="H174" s="45">
        <f>IFERROR(INDEX(tblRates[СтавкаКлиенту],MATCH(tblLog[[#This Row],[Сотрудник]],tblRates[Сотрудник],0)),0)</f>
        <v>3500</v>
      </c>
      <c r="I174" s="45">
        <f>IF(tblLog[[#This Row],[Оплачиваемо]]=yesFlag,ROUND(tblLog[[#This Row],[ЧасыКОплате]]*tblLog[[#This Row],[Ставка]],2),0)</f>
        <v>10500</v>
      </c>
      <c r="J174" s="45">
        <f>IFERROR(INDEX(tblRates[СтавкаСотруднику],MATCH(tblLog[[#This Row],[Сотрудник]],tblRates[Сотрудник],0)),0)</f>
        <v>2400</v>
      </c>
      <c r="K174" s="45">
        <f>ROUND(tblLog[[#This Row],[Часы]]*tblLog[[#This Row],[СтавкаЗП]],2)</f>
        <v>7080</v>
      </c>
    </row>
    <row r="175">
      <c r="A175" s="41" t="n">
        <v>46275</v>
      </c>
      <c r="B175" s="42" t="inlineStr">
        <is>
          <t>Сольберг Мира</t>
        </is>
      </c>
      <c r="C175" s="42" t="inlineStr">
        <is>
          <t>Мобильное приложение для цеха</t>
        </is>
      </c>
      <c r="D175" s="42" t="inlineStr">
        <is>
          <t>Офлайн-синхронизация</t>
        </is>
      </c>
      <c r="E175" s="43" t="n">
        <v>1.72</v>
      </c>
      <c r="F175" s="42" t="inlineStr">
        <is>
          <t>Да</t>
        </is>
      </c>
      <c r="G175" s="44">
        <f>IF(billInc&gt;0,ROUNDUP(tblLog[[#This Row],[Часы]]/billInc,0)*billInc,tblLog[[#This Row],[Часы]])</f>
        <v>1.75</v>
      </c>
      <c r="H175" s="45">
        <f>IFERROR(INDEX(tblRates[СтавкаКлиенту],MATCH(tblLog[[#This Row],[Сотрудник]],tblRates[Сотрудник],0)),0)</f>
        <v>3500</v>
      </c>
      <c r="I175" s="45">
        <f>IF(tblLog[[#This Row],[Оплачиваемо]]=yesFlag,ROUND(tblLog[[#This Row],[ЧасыКОплате]]*tblLog[[#This Row],[Ставка]],2),0)</f>
        <v>6125</v>
      </c>
      <c r="J175" s="45">
        <f>IFERROR(INDEX(tblRates[СтавкаСотруднику],MATCH(tblLog[[#This Row],[Сотрудник]],tblRates[Сотрудник],0)),0)</f>
        <v>2400</v>
      </c>
      <c r="K175" s="45">
        <f>ROUND(tblLog[[#This Row],[Часы]]*tblLog[[#This Row],[СтавкаЗП]],2)</f>
        <v>4128</v>
      </c>
    </row>
    <row r="176">
      <c r="A176" s="41" t="n">
        <v>46276</v>
      </c>
      <c r="B176" s="42" t="inlineStr">
        <is>
          <t>Бреннер Лука</t>
        </is>
      </c>
      <c r="C176" s="42" t="inlineStr">
        <is>
          <t>Клиентский портал</t>
        </is>
      </c>
      <c r="D176" s="42" t="inlineStr">
        <is>
          <t>Выгрузка отчётов</t>
        </is>
      </c>
      <c r="E176" s="43" t="n">
        <v>2.88</v>
      </c>
      <c r="F176" s="42" t="inlineStr">
        <is>
          <t>Да</t>
        </is>
      </c>
      <c r="G176" s="44">
        <f>IF(billInc&gt;0,ROUNDUP(tblLog[[#This Row],[Часы]]/billInc,0)*billInc,tblLog[[#This Row],[Часы]])</f>
        <v>3</v>
      </c>
      <c r="H176" s="45">
        <f>IFERROR(INDEX(tblRates[СтавкаКлиенту],MATCH(tblLog[[#This Row],[Сотрудник]],tblRates[Сотрудник],0)),0)</f>
        <v>2300</v>
      </c>
      <c r="I176" s="45">
        <f>IF(tblLog[[#This Row],[Оплачиваемо]]=yesFlag,ROUND(tblLog[[#This Row],[ЧасыКОплате]]*tblLog[[#This Row],[Ставка]],2),0)</f>
        <v>6900</v>
      </c>
      <c r="J176" s="45">
        <f>IFERROR(INDEX(tblRates[СтавкаСотруднику],MATCH(tblLog[[#This Row],[Сотрудник]],tblRates[Сотрудник],0)),0)</f>
        <v>1500</v>
      </c>
      <c r="K176" s="45">
        <f>ROUND(tblLog[[#This Row],[Часы]]*tblLog[[#This Row],[СтавкаЗП]],2)</f>
        <v>4320</v>
      </c>
    </row>
    <row r="177">
      <c r="A177" s="41" t="n">
        <v>46276</v>
      </c>
      <c r="B177" s="42" t="inlineStr">
        <is>
          <t>Бреннер Лука</t>
        </is>
      </c>
      <c r="C177" s="42" t="inlineStr">
        <is>
          <t>Клиентский портал</t>
        </is>
      </c>
      <c r="D177" s="42" t="inlineStr">
        <is>
          <t>Страница статуса заказа</t>
        </is>
      </c>
      <c r="E177" s="43" t="n">
        <v>2.26</v>
      </c>
      <c r="F177" s="42" t="inlineStr">
        <is>
          <t>Да</t>
        </is>
      </c>
      <c r="G177" s="44">
        <f>IF(billInc&gt;0,ROUNDUP(tblLog[[#This Row],[Часы]]/billInc,0)*billInc,tblLog[[#This Row],[Часы]])</f>
        <v>2.5</v>
      </c>
      <c r="H177" s="45">
        <f>IFERROR(INDEX(tblRates[СтавкаКлиенту],MATCH(tblLog[[#This Row],[Сотрудник]],tblRates[Сотрудник],0)),0)</f>
        <v>2300</v>
      </c>
      <c r="I177" s="45">
        <f>IF(tblLog[[#This Row],[Оплачиваемо]]=yesFlag,ROUND(tblLog[[#This Row],[ЧасыКОплате]]*tblLog[[#This Row],[Ставка]],2),0)</f>
        <v>5750</v>
      </c>
      <c r="J177" s="45">
        <f>IFERROR(INDEX(tblRates[СтавкаСотруднику],MATCH(tblLog[[#This Row],[Сотрудник]],tblRates[Сотрудник],0)),0)</f>
        <v>1500</v>
      </c>
      <c r="K177" s="45">
        <f>ROUND(tblLog[[#This Row],[Часы]]*tblLog[[#This Row],[СтавкаЗП]],2)</f>
        <v>3390</v>
      </c>
    </row>
    <row r="178">
      <c r="A178" s="41" t="n">
        <v>46276</v>
      </c>
      <c r="B178" s="42" t="inlineStr">
        <is>
          <t>Бреннер Лука</t>
        </is>
      </c>
      <c r="C178" s="42" t="inlineStr">
        <is>
          <t>Мобильное приложение для цеха</t>
        </is>
      </c>
      <c r="D178" s="42" t="inlineStr">
        <is>
          <t>Офлайн-синхронизация</t>
        </is>
      </c>
      <c r="E178" s="43" t="n">
        <v>1.86</v>
      </c>
      <c r="F178" s="42" t="inlineStr">
        <is>
          <t>Да</t>
        </is>
      </c>
      <c r="G178" s="44">
        <f>IF(billInc&gt;0,ROUNDUP(tblLog[[#This Row],[Часы]]/billInc,0)*billInc,tblLog[[#This Row],[Часы]])</f>
        <v>2</v>
      </c>
      <c r="H178" s="45">
        <f>IFERROR(INDEX(tblRates[СтавкаКлиенту],MATCH(tblLog[[#This Row],[Сотрудник]],tblRates[Сотрудник],0)),0)</f>
        <v>2300</v>
      </c>
      <c r="I178" s="45">
        <f>IF(tblLog[[#This Row],[Оплачиваемо]]=yesFlag,ROUND(tblLog[[#This Row],[ЧасыКОплате]]*tblLog[[#This Row],[Ставка]],2),0)</f>
        <v>4600</v>
      </c>
      <c r="J178" s="45">
        <f>IFERROR(INDEX(tblRates[СтавкаСотруднику],MATCH(tblLog[[#This Row],[Сотрудник]],tblRates[Сотрудник],0)),0)</f>
        <v>1500</v>
      </c>
      <c r="K178" s="45">
        <f>ROUND(tblLog[[#This Row],[Часы]]*tblLog[[#This Row],[СтавкаЗП]],2)</f>
        <v>2790</v>
      </c>
    </row>
    <row r="179">
      <c r="A179" s="41" t="n">
        <v>46276</v>
      </c>
      <c r="B179" s="42" t="inlineStr">
        <is>
          <t>Варга Тео</t>
        </is>
      </c>
      <c r="C179" s="42" t="inlineStr">
        <is>
          <t>Мобильное приложение для цеха</t>
        </is>
      </c>
      <c r="D179" s="42" t="inlineStr">
        <is>
          <t>Сканирование штрихкодов</t>
        </is>
      </c>
      <c r="E179" s="43" t="n">
        <v>1.5</v>
      </c>
      <c r="F179" s="42" t="inlineStr">
        <is>
          <t>Да</t>
        </is>
      </c>
      <c r="G179" s="44">
        <f>IF(billInc&gt;0,ROUNDUP(tblLog[[#This Row],[Часы]]/billInc,0)*billInc,tblLog[[#This Row],[Часы]])</f>
        <v>1.5</v>
      </c>
      <c r="H179" s="45">
        <f>IFERROR(INDEX(tblRates[СтавкаКлиенту],MATCH(tblLog[[#This Row],[Сотрудник]],tblRates[Сотрудник],0)),0)</f>
        <v>2600</v>
      </c>
      <c r="I179" s="45">
        <f>IF(tblLog[[#This Row],[Оплачиваемо]]=yesFlag,ROUND(tblLog[[#This Row],[ЧасыКОплате]]*tblLog[[#This Row],[Ставка]],2),0)</f>
        <v>3900</v>
      </c>
      <c r="J179" s="45">
        <f>IFERROR(INDEX(tblRates[СтавкаСотруднику],MATCH(tblLog[[#This Row],[Сотрудник]],tblRates[Сотрудник],0)),0)</f>
        <v>1700</v>
      </c>
      <c r="K179" s="45">
        <f>ROUND(tblLog[[#This Row],[Часы]]*tblLog[[#This Row],[СтавкаЗП]],2)</f>
        <v>2550</v>
      </c>
    </row>
    <row r="180">
      <c r="A180" s="41" t="n">
        <v>46276</v>
      </c>
      <c r="B180" s="42" t="inlineStr">
        <is>
          <t>Варга Тео</t>
        </is>
      </c>
      <c r="C180" s="42" t="inlineStr">
        <is>
          <t>Клиентский портал</t>
        </is>
      </c>
      <c r="D180" s="42" t="inlineStr">
        <is>
          <t>Страница статуса заказа</t>
        </is>
      </c>
      <c r="E180" s="43" t="n">
        <v>1.41</v>
      </c>
      <c r="F180" s="42" t="inlineStr">
        <is>
          <t>Да</t>
        </is>
      </c>
      <c r="G180" s="44">
        <f>IF(billInc&gt;0,ROUNDUP(tblLog[[#This Row],[Часы]]/billInc,0)*billInc,tblLog[[#This Row],[Часы]])</f>
        <v>1.5</v>
      </c>
      <c r="H180" s="45">
        <f>IFERROR(INDEX(tblRates[СтавкаКлиенту],MATCH(tblLog[[#This Row],[Сотрудник]],tblRates[Сотрудник],0)),0)</f>
        <v>2600</v>
      </c>
      <c r="I180" s="45">
        <f>IF(tblLog[[#This Row],[Оплачиваемо]]=yesFlag,ROUND(tblLog[[#This Row],[ЧасыКОплате]]*tblLog[[#This Row],[Ставка]],2),0)</f>
        <v>3900</v>
      </c>
      <c r="J180" s="45">
        <f>IFERROR(INDEX(tblRates[СтавкаСотруднику],MATCH(tblLog[[#This Row],[Сотрудник]],tblRates[Сотрудник],0)),0)</f>
        <v>1700</v>
      </c>
      <c r="K180" s="45">
        <f>ROUND(tblLog[[#This Row],[Часы]]*tblLog[[#This Row],[СтавкаЗП]],2)</f>
        <v>2397</v>
      </c>
    </row>
    <row r="181">
      <c r="A181" s="41" t="n">
        <v>46276</v>
      </c>
      <c r="B181" s="42" t="inlineStr">
        <is>
          <t>Варга Тео</t>
        </is>
      </c>
      <c r="C181" s="42" t="inlineStr">
        <is>
          <t>Клиентский портал</t>
        </is>
      </c>
      <c r="D181" s="42" t="inlineStr">
        <is>
          <t>Выгрузка отчётов</t>
        </is>
      </c>
      <c r="E181" s="43" t="n">
        <v>2.64</v>
      </c>
      <c r="F181" s="42" t="inlineStr">
        <is>
          <t>Да</t>
        </is>
      </c>
      <c r="G181" s="44">
        <f>IF(billInc&gt;0,ROUNDUP(tblLog[[#This Row],[Часы]]/billInc,0)*billInc,tblLog[[#This Row],[Часы]])</f>
        <v>2.75</v>
      </c>
      <c r="H181" s="45">
        <f>IFERROR(INDEX(tblRates[СтавкаКлиенту],MATCH(tblLog[[#This Row],[Сотрудник]],tblRates[Сотрудник],0)),0)</f>
        <v>2600</v>
      </c>
      <c r="I181" s="45">
        <f>IF(tblLog[[#This Row],[Оплачиваемо]]=yesFlag,ROUND(tblLog[[#This Row],[ЧасыКОплате]]*tblLog[[#This Row],[Ставка]],2),0)</f>
        <v>7150</v>
      </c>
      <c r="J181" s="45">
        <f>IFERROR(INDEX(tblRates[СтавкаСотруднику],MATCH(tblLog[[#This Row],[Сотрудник]],tblRates[Сотрудник],0)),0)</f>
        <v>1700</v>
      </c>
      <c r="K181" s="45">
        <f>ROUND(tblLog[[#This Row],[Часы]]*tblLog[[#This Row],[СтавкаЗП]],2)</f>
        <v>4488</v>
      </c>
    </row>
    <row r="182">
      <c r="A182" s="41" t="n">
        <v>46276</v>
      </c>
      <c r="B182" s="42" t="inlineStr">
        <is>
          <t>Варга Тео</t>
        </is>
      </c>
      <c r="C182" s="42" t="inlineStr">
        <is>
          <t>Клиентский портал</t>
        </is>
      </c>
      <c r="D182" s="42" t="inlineStr">
        <is>
          <t>Страница статуса заказа</t>
        </is>
      </c>
      <c r="E182" s="43" t="n">
        <v>1.45</v>
      </c>
      <c r="F182" s="42" t="inlineStr">
        <is>
          <t>Да</t>
        </is>
      </c>
      <c r="G182" s="44">
        <f>IF(billInc&gt;0,ROUNDUP(tblLog[[#This Row],[Часы]]/billInc,0)*billInc,tblLog[[#This Row],[Часы]])</f>
        <v>1.5</v>
      </c>
      <c r="H182" s="45">
        <f>IFERROR(INDEX(tblRates[СтавкаКлиенту],MATCH(tblLog[[#This Row],[Сотрудник]],tblRates[Сотрудник],0)),0)</f>
        <v>2600</v>
      </c>
      <c r="I182" s="45">
        <f>IF(tblLog[[#This Row],[Оплачиваемо]]=yesFlag,ROUND(tblLog[[#This Row],[ЧасыКОплате]]*tblLog[[#This Row],[Ставка]],2),0)</f>
        <v>3900</v>
      </c>
      <c r="J182" s="45">
        <f>IFERROR(INDEX(tblRates[СтавкаСотруднику],MATCH(tblLog[[#This Row],[Сотрудник]],tblRates[Сотрудник],0)),0)</f>
        <v>1700</v>
      </c>
      <c r="K182" s="45">
        <f>ROUND(tblLog[[#This Row],[Часы]]*tblLog[[#This Row],[СтавкаЗП]],2)</f>
        <v>2465</v>
      </c>
    </row>
    <row r="183">
      <c r="A183" s="41" t="n">
        <v>46276</v>
      </c>
      <c r="B183" s="42" t="inlineStr">
        <is>
          <t>Окафор Инес</t>
        </is>
      </c>
      <c r="C183" s="42" t="inlineStr">
        <is>
          <t>Мобильное приложение для цеха</t>
        </is>
      </c>
      <c r="D183" s="42" t="inlineStr">
        <is>
          <t>Офлайн-синхронизация</t>
        </is>
      </c>
      <c r="E183" s="43" t="n">
        <v>2</v>
      </c>
      <c r="F183" s="42" t="inlineStr">
        <is>
          <t>Нет</t>
        </is>
      </c>
      <c r="G183" s="44">
        <f>IF(billInc&gt;0,ROUNDUP(tblLog[[#This Row],[Часы]]/billInc,0)*billInc,tblLog[[#This Row],[Часы]])</f>
        <v>2</v>
      </c>
      <c r="H183" s="45">
        <f>IFERROR(INDEX(tblRates[СтавкаКлиенту],MATCH(tblLog[[#This Row],[Сотрудник]],tblRates[Сотрудник],0)),0)</f>
        <v>1900</v>
      </c>
      <c r="I183" s="45">
        <f>IF(tblLog[[#This Row],[Оплачиваемо]]=yesFlag,ROUND(tblLog[[#This Row],[ЧасыКОплате]]*tblLog[[#This Row],[Ставка]],2),0)</f>
        <v>0</v>
      </c>
      <c r="J183" s="45">
        <f>IFERROR(INDEX(tblRates[СтавкаСотруднику],MATCH(tblLog[[#This Row],[Сотрудник]],tblRates[Сотрудник],0)),0)</f>
        <v>1200</v>
      </c>
      <c r="K183" s="45">
        <f>ROUND(tblLog[[#This Row],[Часы]]*tblLog[[#This Row],[СтавкаЗП]],2)</f>
        <v>2400</v>
      </c>
    </row>
    <row r="184">
      <c r="A184" s="41" t="n">
        <v>46276</v>
      </c>
      <c r="B184" s="42" t="inlineStr">
        <is>
          <t>Окафор Инес</t>
        </is>
      </c>
      <c r="C184" s="42" t="inlineStr">
        <is>
          <t>Мобильное приложение для цеха</t>
        </is>
      </c>
      <c r="D184" s="42" t="inlineStr">
        <is>
          <t>Сканирование штрихкодов</t>
        </is>
      </c>
      <c r="E184" s="43" t="n">
        <v>3.17</v>
      </c>
      <c r="F184" s="42" t="inlineStr">
        <is>
          <t>Да</t>
        </is>
      </c>
      <c r="G184" s="44">
        <f>IF(billInc&gt;0,ROUNDUP(tblLog[[#This Row],[Часы]]/billInc,0)*billInc,tblLog[[#This Row],[Часы]])</f>
        <v>3.25</v>
      </c>
      <c r="H184" s="45">
        <f>IFERROR(INDEX(tblRates[СтавкаКлиенту],MATCH(tblLog[[#This Row],[Сотрудник]],tblRates[Сотрудник],0)),0)</f>
        <v>1900</v>
      </c>
      <c r="I184" s="45">
        <f>IF(tblLog[[#This Row],[Оплачиваемо]]=yesFlag,ROUND(tblLog[[#This Row],[ЧасыКОплате]]*tblLog[[#This Row],[Ставка]],2),0)</f>
        <v>6175</v>
      </c>
      <c r="J184" s="45">
        <f>IFERROR(INDEX(tblRates[СтавкаСотруднику],MATCH(tblLog[[#This Row],[Сотрудник]],tblRates[Сотрудник],0)),0)</f>
        <v>1200</v>
      </c>
      <c r="K184" s="45">
        <f>ROUND(tblLog[[#This Row],[Часы]]*tblLog[[#This Row],[СтавкаЗП]],2)</f>
        <v>3804</v>
      </c>
    </row>
    <row r="185">
      <c r="A185" s="41" t="n">
        <v>46276</v>
      </c>
      <c r="B185" s="42" t="inlineStr">
        <is>
          <t>Окафор Инес</t>
        </is>
      </c>
      <c r="C185" s="42" t="inlineStr">
        <is>
          <t>Клиентский портал</t>
        </is>
      </c>
      <c r="D185" s="42" t="inlineStr">
        <is>
          <t>Код-ревью</t>
        </is>
      </c>
      <c r="E185" s="43" t="n">
        <v>0.83</v>
      </c>
      <c r="F185" s="42" t="inlineStr">
        <is>
          <t>Да</t>
        </is>
      </c>
      <c r="G185" s="44">
        <f>IF(billInc&gt;0,ROUNDUP(tblLog[[#This Row],[Часы]]/billInc,0)*billInc,tblLog[[#This Row],[Часы]])</f>
        <v>1</v>
      </c>
      <c r="H185" s="45">
        <f>IFERROR(INDEX(tblRates[СтавкаКлиенту],MATCH(tblLog[[#This Row],[Сотрудник]],tblRates[Сотрудник],0)),0)</f>
        <v>1900</v>
      </c>
      <c r="I185" s="45">
        <f>IF(tblLog[[#This Row],[Оплачиваемо]]=yesFlag,ROUND(tblLog[[#This Row],[ЧасыКОплате]]*tblLog[[#This Row],[Ставка]],2),0)</f>
        <v>1900</v>
      </c>
      <c r="J185" s="45">
        <f>IFERROR(INDEX(tblRates[СтавкаСотруднику],MATCH(tblLog[[#This Row],[Сотрудник]],tblRates[Сотрудник],0)),0)</f>
        <v>1200</v>
      </c>
      <c r="K185" s="45">
        <f>ROUND(tblLog[[#This Row],[Часы]]*tblLog[[#This Row],[СтавкаЗП]],2)</f>
        <v>996</v>
      </c>
    </row>
    <row r="186">
      <c r="A186" s="41" t="n">
        <v>46276</v>
      </c>
      <c r="B186" s="42" t="inlineStr">
        <is>
          <t>Сольберг Мира</t>
        </is>
      </c>
      <c r="C186" s="42" t="inlineStr">
        <is>
          <t>Мобильное приложение для цеха</t>
        </is>
      </c>
      <c r="D186" s="42" t="inlineStr">
        <is>
          <t>Офлайн-синхронизация</t>
        </is>
      </c>
      <c r="E186" s="43" t="n">
        <v>0.61</v>
      </c>
      <c r="F186" s="42" t="inlineStr">
        <is>
          <t>Нет</t>
        </is>
      </c>
      <c r="G186" s="44">
        <f>IF(billInc&gt;0,ROUNDUP(tblLog[[#This Row],[Часы]]/billInc,0)*billInc,tblLog[[#This Row],[Часы]])</f>
        <v>0.75</v>
      </c>
      <c r="H186" s="45">
        <f>IFERROR(INDEX(tblRates[СтавкаКлиенту],MATCH(tblLog[[#This Row],[Сотрудник]],tblRates[Сотрудник],0)),0)</f>
        <v>3500</v>
      </c>
      <c r="I186" s="45">
        <f>IF(tblLog[[#This Row],[Оплачиваемо]]=yesFlag,ROUND(tblLog[[#This Row],[ЧасыКОплате]]*tblLog[[#This Row],[Ставка]],2),0)</f>
        <v>0</v>
      </c>
      <c r="J186" s="45">
        <f>IFERROR(INDEX(tblRates[СтавкаСотруднику],MATCH(tblLog[[#This Row],[Сотрудник]],tblRates[Сотрудник],0)),0)</f>
        <v>2400</v>
      </c>
      <c r="K186" s="45">
        <f>ROUND(tblLog[[#This Row],[Часы]]*tblLog[[#This Row],[СтавкаЗП]],2)</f>
        <v>1464</v>
      </c>
    </row>
    <row r="187">
      <c r="A187" s="41" t="n">
        <v>46276</v>
      </c>
      <c r="B187" s="42" t="inlineStr">
        <is>
          <t>Сольберг Мира</t>
        </is>
      </c>
      <c r="C187" s="42" t="inlineStr">
        <is>
          <t>Поддержка</t>
        </is>
      </c>
      <c r="D187" s="42" t="inlineStr">
        <is>
          <t>Исправление ошибок</t>
        </is>
      </c>
      <c r="E187" s="43" t="n">
        <v>1.95</v>
      </c>
      <c r="F187" s="42" t="inlineStr">
        <is>
          <t>Нет</t>
        </is>
      </c>
      <c r="G187" s="44">
        <f>IF(billInc&gt;0,ROUNDUP(tblLog[[#This Row],[Часы]]/billInc,0)*billInc,tblLog[[#This Row],[Часы]])</f>
        <v>2</v>
      </c>
      <c r="H187" s="45">
        <f>IFERROR(INDEX(tblRates[СтавкаКлиенту],MATCH(tblLog[[#This Row],[Сотрудник]],tblRates[Сотрудник],0)),0)</f>
        <v>3500</v>
      </c>
      <c r="I187" s="45">
        <f>IF(tblLog[[#This Row],[Оплачиваемо]]=yesFlag,ROUND(tblLog[[#This Row],[ЧасыКОплате]]*tblLog[[#This Row],[Ставка]],2),0)</f>
        <v>0</v>
      </c>
      <c r="J187" s="45">
        <f>IFERROR(INDEX(tblRates[СтавкаСотруднику],MATCH(tblLog[[#This Row],[Сотрудник]],tblRates[Сотрудник],0)),0)</f>
        <v>2400</v>
      </c>
      <c r="K187" s="45">
        <f>ROUND(tblLog[[#This Row],[Часы]]*tblLog[[#This Row],[СтавкаЗП]],2)</f>
        <v>4680</v>
      </c>
    </row>
    <row r="188">
      <c r="A188" s="41" t="n">
        <v>46276</v>
      </c>
      <c r="B188" s="42" t="inlineStr">
        <is>
          <t>Сольберг Мира</t>
        </is>
      </c>
      <c r="C188" s="42" t="inlineStr">
        <is>
          <t>Поддержка</t>
        </is>
      </c>
      <c r="D188" s="42" t="inlineStr">
        <is>
          <t>Обновление сервера</t>
        </is>
      </c>
      <c r="E188" s="43" t="n">
        <v>3.08</v>
      </c>
      <c r="F188" s="42" t="inlineStr">
        <is>
          <t>Да</t>
        </is>
      </c>
      <c r="G188" s="44">
        <f>IF(billInc&gt;0,ROUNDUP(tblLog[[#This Row],[Часы]]/billInc,0)*billInc,tblLog[[#This Row],[Часы]])</f>
        <v>3.25</v>
      </c>
      <c r="H188" s="45">
        <f>IFERROR(INDEX(tblRates[СтавкаКлиенту],MATCH(tblLog[[#This Row],[Сотрудник]],tblRates[Сотрудник],0)),0)</f>
        <v>3500</v>
      </c>
      <c r="I188" s="45">
        <f>IF(tblLog[[#This Row],[Оплачиваемо]]=yesFlag,ROUND(tblLog[[#This Row],[ЧасыКОплате]]*tblLog[[#This Row],[Ставка]],2),0)</f>
        <v>11375</v>
      </c>
      <c r="J188" s="45">
        <f>IFERROR(INDEX(tblRates[СтавкаСотруднику],MATCH(tblLog[[#This Row],[Сотрудник]],tblRates[Сотрудник],0)),0)</f>
        <v>2400</v>
      </c>
      <c r="K188" s="45">
        <f>ROUND(tblLog[[#This Row],[Часы]]*tblLog[[#This Row],[СтавкаЗП]],2)</f>
        <v>7392</v>
      </c>
    </row>
    <row r="189">
      <c r="A189" s="41" t="n">
        <v>46276</v>
      </c>
      <c r="B189" s="42" t="inlineStr">
        <is>
          <t>Сольберг Мира</t>
        </is>
      </c>
      <c r="C189" s="42" t="inlineStr">
        <is>
          <t>Мобильное приложение для цеха</t>
        </is>
      </c>
      <c r="D189" s="42" t="inlineStr">
        <is>
          <t>Офлайн-синхронизация</t>
        </is>
      </c>
      <c r="E189" s="43" t="n">
        <v>1.36</v>
      </c>
      <c r="F189" s="42" t="inlineStr">
        <is>
          <t>Да</t>
        </is>
      </c>
      <c r="G189" s="44">
        <f>IF(billInc&gt;0,ROUNDUP(tblLog[[#This Row],[Часы]]/billInc,0)*billInc,tblLog[[#This Row],[Часы]])</f>
        <v>1.5</v>
      </c>
      <c r="H189" s="45">
        <f>IFERROR(INDEX(tblRates[СтавкаКлиенту],MATCH(tblLog[[#This Row],[Сотрудник]],tblRates[Сотрудник],0)),0)</f>
        <v>3500</v>
      </c>
      <c r="I189" s="45">
        <f>IF(tblLog[[#This Row],[Оплачиваемо]]=yesFlag,ROUND(tblLog[[#This Row],[ЧасыКОплате]]*tblLog[[#This Row],[Ставка]],2),0)</f>
        <v>5250</v>
      </c>
      <c r="J189" s="45">
        <f>IFERROR(INDEX(tblRates[СтавкаСотруднику],MATCH(tblLog[[#This Row],[Сотрудник]],tblRates[Сотрудник],0)),0)</f>
        <v>2400</v>
      </c>
      <c r="K189" s="45">
        <f>ROUND(tblLog[[#This Row],[Часы]]*tblLog[[#This Row],[СтавкаЗП]],2)</f>
        <v>3264</v>
      </c>
    </row>
    <row r="190">
      <c r="A190" s="41" t="n">
        <v>46279</v>
      </c>
      <c r="B190" s="42" t="inlineStr">
        <is>
          <t>Бреннер Лука</t>
        </is>
      </c>
      <c r="C190" s="42" t="inlineStr">
        <is>
          <t>Клиентский портал</t>
        </is>
      </c>
      <c r="D190" s="42" t="inlineStr">
        <is>
          <t>Выгрузка отчётов</t>
        </is>
      </c>
      <c r="E190" s="43" t="n">
        <v>2.86</v>
      </c>
      <c r="F190" s="42" t="inlineStr">
        <is>
          <t>Да</t>
        </is>
      </c>
      <c r="G190" s="44">
        <f>IF(billInc&gt;0,ROUNDUP(tblLog[[#This Row],[Часы]]/billInc,0)*billInc,tblLog[[#This Row],[Часы]])</f>
        <v>3</v>
      </c>
      <c r="H190" s="45">
        <f>IFERROR(INDEX(tblRates[СтавкаКлиенту],MATCH(tblLog[[#This Row],[Сотрудник]],tblRates[Сотрудник],0)),0)</f>
        <v>2300</v>
      </c>
      <c r="I190" s="45">
        <f>IF(tblLog[[#This Row],[Оплачиваемо]]=yesFlag,ROUND(tblLog[[#This Row],[ЧасыКОплате]]*tblLog[[#This Row],[Ставка]],2),0)</f>
        <v>6900</v>
      </c>
      <c r="J190" s="45">
        <f>IFERROR(INDEX(tblRates[СтавкаСотруднику],MATCH(tblLog[[#This Row],[Сотрудник]],tblRates[Сотрудник],0)),0)</f>
        <v>1500</v>
      </c>
      <c r="K190" s="45">
        <f>ROUND(tblLog[[#This Row],[Часы]]*tblLog[[#This Row],[СтавкаЗП]],2)</f>
        <v>4290</v>
      </c>
    </row>
    <row r="191">
      <c r="A191" s="41" t="n">
        <v>46279</v>
      </c>
      <c r="B191" s="42" t="inlineStr">
        <is>
          <t>Бреннер Лука</t>
        </is>
      </c>
      <c r="C191" s="42" t="inlineStr">
        <is>
          <t>Клиентский портал</t>
        </is>
      </c>
      <c r="D191" s="42" t="inlineStr">
        <is>
          <t>Страница статуса заказа</t>
        </is>
      </c>
      <c r="E191" s="43" t="n">
        <v>2.05</v>
      </c>
      <c r="F191" s="42" t="inlineStr">
        <is>
          <t>Да</t>
        </is>
      </c>
      <c r="G191" s="44">
        <f>IF(billInc&gt;0,ROUNDUP(tblLog[[#This Row],[Часы]]/billInc,0)*billInc,tblLog[[#This Row],[Часы]])</f>
        <v>2.25</v>
      </c>
      <c r="H191" s="45">
        <f>IFERROR(INDEX(tblRates[СтавкаКлиенту],MATCH(tblLog[[#This Row],[Сотрудник]],tblRates[Сотрудник],0)),0)</f>
        <v>2300</v>
      </c>
      <c r="I191" s="45">
        <f>IF(tblLog[[#This Row],[Оплачиваемо]]=yesFlag,ROUND(tblLog[[#This Row],[ЧасыКОплате]]*tblLog[[#This Row],[Ставка]],2),0)</f>
        <v>5175</v>
      </c>
      <c r="J191" s="45">
        <f>IFERROR(INDEX(tblRates[СтавкаСотруднику],MATCH(tblLog[[#This Row],[Сотрудник]],tblRates[Сотрудник],0)),0)</f>
        <v>1500</v>
      </c>
      <c r="K191" s="45">
        <f>ROUND(tblLog[[#This Row],[Часы]]*tblLog[[#This Row],[СтавкаЗП]],2)</f>
        <v>3075</v>
      </c>
    </row>
    <row r="192">
      <c r="A192" s="41" t="n">
        <v>46279</v>
      </c>
      <c r="B192" s="42" t="inlineStr">
        <is>
          <t>Бреннер Лука</t>
        </is>
      </c>
      <c r="C192" s="42" t="inlineStr">
        <is>
          <t>Клиентский портал</t>
        </is>
      </c>
      <c r="D192" s="42" t="inlineStr">
        <is>
          <t>Авторизация и роли</t>
        </is>
      </c>
      <c r="E192" s="43" t="n">
        <v>2.59</v>
      </c>
      <c r="F192" s="42" t="inlineStr">
        <is>
          <t>Да</t>
        </is>
      </c>
      <c r="G192" s="44">
        <f>IF(billInc&gt;0,ROUNDUP(tblLog[[#This Row],[Часы]]/billInc,0)*billInc,tblLog[[#This Row],[Часы]])</f>
        <v>2.75</v>
      </c>
      <c r="H192" s="45">
        <f>IFERROR(INDEX(tblRates[СтавкаКлиенту],MATCH(tblLog[[#This Row],[Сотрудник]],tblRates[Сотрудник],0)),0)</f>
        <v>2300</v>
      </c>
      <c r="I192" s="45">
        <f>IF(tblLog[[#This Row],[Оплачиваемо]]=yesFlag,ROUND(tblLog[[#This Row],[ЧасыКОплате]]*tblLog[[#This Row],[Ставка]],2),0)</f>
        <v>6325</v>
      </c>
      <c r="J192" s="45">
        <f>IFERROR(INDEX(tblRates[СтавкаСотруднику],MATCH(tblLog[[#This Row],[Сотрудник]],tblRates[Сотрудник],0)),0)</f>
        <v>1500</v>
      </c>
      <c r="K192" s="45">
        <f>ROUND(tblLog[[#This Row],[Часы]]*tblLog[[#This Row],[СтавкаЗП]],2)</f>
        <v>3885</v>
      </c>
    </row>
    <row r="193">
      <c r="A193" s="41" t="n">
        <v>46279</v>
      </c>
      <c r="B193" s="42" t="inlineStr">
        <is>
          <t>Варга Тео</t>
        </is>
      </c>
      <c r="C193" s="42" t="inlineStr">
        <is>
          <t>Мобильное приложение для цеха</t>
        </is>
      </c>
      <c r="D193" s="42" t="inlineStr">
        <is>
          <t>Push-уведомления</t>
        </is>
      </c>
      <c r="E193" s="43" t="n">
        <v>3.68</v>
      </c>
      <c r="F193" s="42" t="inlineStr">
        <is>
          <t>Да</t>
        </is>
      </c>
      <c r="G193" s="44">
        <f>IF(billInc&gt;0,ROUNDUP(tblLog[[#This Row],[Часы]]/billInc,0)*billInc,tblLog[[#This Row],[Часы]])</f>
        <v>3.75</v>
      </c>
      <c r="H193" s="45">
        <f>IFERROR(INDEX(tblRates[СтавкаКлиенту],MATCH(tblLog[[#This Row],[Сотрудник]],tblRates[Сотрудник],0)),0)</f>
        <v>2600</v>
      </c>
      <c r="I193" s="45">
        <f>IF(tblLog[[#This Row],[Оплачиваемо]]=yesFlag,ROUND(tblLog[[#This Row],[ЧасыКОплате]]*tblLog[[#This Row],[Ставка]],2),0)</f>
        <v>9750</v>
      </c>
      <c r="J193" s="45">
        <f>IFERROR(INDEX(tblRates[СтавкаСотруднику],MATCH(tblLog[[#This Row],[Сотрудник]],tblRates[Сотрудник],0)),0)</f>
        <v>1700</v>
      </c>
      <c r="K193" s="45">
        <f>ROUND(tblLog[[#This Row],[Часы]]*tblLog[[#This Row],[СтавкаЗП]],2)</f>
        <v>6256</v>
      </c>
    </row>
    <row r="194">
      <c r="A194" s="41" t="n">
        <v>46279</v>
      </c>
      <c r="B194" s="42" t="inlineStr">
        <is>
          <t>Варга Тео</t>
        </is>
      </c>
      <c r="C194" s="42" t="inlineStr">
        <is>
          <t>Клиентский портал</t>
        </is>
      </c>
      <c r="D194" s="42" t="inlineStr">
        <is>
          <t>Код-ревью</t>
        </is>
      </c>
      <c r="E194" s="43" t="n">
        <v>1.42</v>
      </c>
      <c r="F194" s="42" t="inlineStr">
        <is>
          <t>Да</t>
        </is>
      </c>
      <c r="G194" s="44">
        <f>IF(billInc&gt;0,ROUNDUP(tblLog[[#This Row],[Часы]]/billInc,0)*billInc,tblLog[[#This Row],[Часы]])</f>
        <v>1.5</v>
      </c>
      <c r="H194" s="45">
        <f>IFERROR(INDEX(tblRates[СтавкаКлиенту],MATCH(tblLog[[#This Row],[Сотрудник]],tblRates[Сотрудник],0)),0)</f>
        <v>2600</v>
      </c>
      <c r="I194" s="45">
        <f>IF(tblLog[[#This Row],[Оплачиваемо]]=yesFlag,ROUND(tblLog[[#This Row],[ЧасыКОплате]]*tblLog[[#This Row],[Ставка]],2),0)</f>
        <v>3900</v>
      </c>
      <c r="J194" s="45">
        <f>IFERROR(INDEX(tblRates[СтавкаСотруднику],MATCH(tblLog[[#This Row],[Сотрудник]],tblRates[Сотрудник],0)),0)</f>
        <v>1700</v>
      </c>
      <c r="K194" s="45">
        <f>ROUND(tblLog[[#This Row],[Часы]]*tblLog[[#This Row],[СтавкаЗП]],2)</f>
        <v>2414</v>
      </c>
    </row>
    <row r="195">
      <c r="A195" s="41" t="n">
        <v>46279</v>
      </c>
      <c r="B195" s="42" t="inlineStr">
        <is>
          <t>Варга Тео</t>
        </is>
      </c>
      <c r="C195" s="42" t="inlineStr">
        <is>
          <t>Мобильное приложение для цеха</t>
        </is>
      </c>
      <c r="D195" s="42" t="inlineStr">
        <is>
          <t>Сканирование штрихкодов</t>
        </is>
      </c>
      <c r="E195" s="43" t="n">
        <v>1.9</v>
      </c>
      <c r="F195" s="42" t="inlineStr">
        <is>
          <t>Да</t>
        </is>
      </c>
      <c r="G195" s="44">
        <f>IF(billInc&gt;0,ROUNDUP(tblLog[[#This Row],[Часы]]/billInc,0)*billInc,tblLog[[#This Row],[Часы]])</f>
        <v>2</v>
      </c>
      <c r="H195" s="45">
        <f>IFERROR(INDEX(tblRates[СтавкаКлиенту],MATCH(tblLog[[#This Row],[Сотрудник]],tblRates[Сотрудник],0)),0)</f>
        <v>2600</v>
      </c>
      <c r="I195" s="45">
        <f>IF(tblLog[[#This Row],[Оплачиваемо]]=yesFlag,ROUND(tblLog[[#This Row],[ЧасыКОплате]]*tblLog[[#This Row],[Ставка]],2),0)</f>
        <v>5200</v>
      </c>
      <c r="J195" s="45">
        <f>IFERROR(INDEX(tblRates[СтавкаСотруднику],MATCH(tblLog[[#This Row],[Сотрудник]],tblRates[Сотрудник],0)),0)</f>
        <v>1700</v>
      </c>
      <c r="K195" s="45">
        <f>ROUND(tblLog[[#This Row],[Часы]]*tblLog[[#This Row],[СтавкаЗП]],2)</f>
        <v>3230</v>
      </c>
    </row>
    <row r="196">
      <c r="A196" s="41" t="n">
        <v>46279</v>
      </c>
      <c r="B196" s="42" t="inlineStr">
        <is>
          <t>Окафор Инес</t>
        </is>
      </c>
      <c r="C196" s="42" t="inlineStr">
        <is>
          <t>Клиентский портал</t>
        </is>
      </c>
      <c r="D196" s="42" t="inlineStr">
        <is>
          <t>Выгрузка отчётов</t>
        </is>
      </c>
      <c r="E196" s="43" t="n">
        <v>1.85</v>
      </c>
      <c r="F196" s="42" t="inlineStr">
        <is>
          <t>Да</t>
        </is>
      </c>
      <c r="G196" s="44">
        <f>IF(billInc&gt;0,ROUNDUP(tblLog[[#This Row],[Часы]]/billInc,0)*billInc,tblLog[[#This Row],[Часы]])</f>
        <v>2</v>
      </c>
      <c r="H196" s="45">
        <f>IFERROR(INDEX(tblRates[СтавкаКлиенту],MATCH(tblLog[[#This Row],[Сотрудник]],tblRates[Сотрудник],0)),0)</f>
        <v>1900</v>
      </c>
      <c r="I196" s="45">
        <f>IF(tblLog[[#This Row],[Оплачиваемо]]=yesFlag,ROUND(tblLog[[#This Row],[ЧасыКОплате]]*tblLog[[#This Row],[Ставка]],2),0)</f>
        <v>3800</v>
      </c>
      <c r="J196" s="45">
        <f>IFERROR(INDEX(tblRates[СтавкаСотруднику],MATCH(tblLog[[#This Row],[Сотрудник]],tblRates[Сотрудник],0)),0)</f>
        <v>1200</v>
      </c>
      <c r="K196" s="45">
        <f>ROUND(tblLog[[#This Row],[Часы]]*tblLog[[#This Row],[СтавкаЗП]],2)</f>
        <v>2220</v>
      </c>
    </row>
    <row r="197">
      <c r="A197" s="41" t="n">
        <v>46279</v>
      </c>
      <c r="B197" s="42" t="inlineStr">
        <is>
          <t>Окафор Инес</t>
        </is>
      </c>
      <c r="C197" s="42" t="inlineStr">
        <is>
          <t>Мобильное приложение для цеха</t>
        </is>
      </c>
      <c r="D197" s="42" t="inlineStr">
        <is>
          <t>Push-уведомления</t>
        </is>
      </c>
      <c r="E197" s="43" t="n">
        <v>3.15</v>
      </c>
      <c r="F197" s="42" t="inlineStr">
        <is>
          <t>Да</t>
        </is>
      </c>
      <c r="G197" s="44">
        <f>IF(billInc&gt;0,ROUNDUP(tblLog[[#This Row],[Часы]]/billInc,0)*billInc,tblLog[[#This Row],[Часы]])</f>
        <v>3.25</v>
      </c>
      <c r="H197" s="45">
        <f>IFERROR(INDEX(tblRates[СтавкаКлиенту],MATCH(tblLog[[#This Row],[Сотрудник]],tblRates[Сотрудник],0)),0)</f>
        <v>1900</v>
      </c>
      <c r="I197" s="45">
        <f>IF(tblLog[[#This Row],[Оплачиваемо]]=yesFlag,ROUND(tblLog[[#This Row],[ЧасыКОплате]]*tblLog[[#This Row],[Ставка]],2),0)</f>
        <v>6175</v>
      </c>
      <c r="J197" s="45">
        <f>IFERROR(INDEX(tblRates[СтавкаСотруднику],MATCH(tblLog[[#This Row],[Сотрудник]],tblRates[Сотрудник],0)),0)</f>
        <v>1200</v>
      </c>
      <c r="K197" s="45">
        <f>ROUND(tblLog[[#This Row],[Часы]]*tblLog[[#This Row],[СтавкаЗП]],2)</f>
        <v>3780</v>
      </c>
    </row>
    <row r="198">
      <c r="A198" s="41" t="n">
        <v>46279</v>
      </c>
      <c r="B198" s="42" t="inlineStr">
        <is>
          <t>Окафор Инес</t>
        </is>
      </c>
      <c r="C198" s="42" t="inlineStr">
        <is>
          <t>Мобильное приложение для цеха</t>
        </is>
      </c>
      <c r="D198" s="42" t="inlineStr">
        <is>
          <t>Офлайн-синхронизация</t>
        </is>
      </c>
      <c r="E198" s="43" t="n">
        <v>1.83</v>
      </c>
      <c r="F198" s="42" t="inlineStr">
        <is>
          <t>Да</t>
        </is>
      </c>
      <c r="G198" s="44">
        <f>IF(billInc&gt;0,ROUNDUP(tblLog[[#This Row],[Часы]]/billInc,0)*billInc,tblLog[[#This Row],[Часы]])</f>
        <v>2</v>
      </c>
      <c r="H198" s="45">
        <f>IFERROR(INDEX(tblRates[СтавкаКлиенту],MATCH(tblLog[[#This Row],[Сотрудник]],tblRates[Сотрудник],0)),0)</f>
        <v>1900</v>
      </c>
      <c r="I198" s="45">
        <f>IF(tblLog[[#This Row],[Оплачиваемо]]=yesFlag,ROUND(tblLog[[#This Row],[ЧасыКОплате]]*tblLog[[#This Row],[Ставка]],2),0)</f>
        <v>3800</v>
      </c>
      <c r="J198" s="45">
        <f>IFERROR(INDEX(tblRates[СтавкаСотруднику],MATCH(tblLog[[#This Row],[Сотрудник]],tblRates[Сотрудник],0)),0)</f>
        <v>1200</v>
      </c>
      <c r="K198" s="45">
        <f>ROUND(tblLog[[#This Row],[Часы]]*tblLog[[#This Row],[СтавкаЗП]],2)</f>
        <v>2196</v>
      </c>
    </row>
    <row r="199">
      <c r="A199" s="41" t="n">
        <v>46279</v>
      </c>
      <c r="B199" s="42" t="inlineStr">
        <is>
          <t>Окафор Инес</t>
        </is>
      </c>
      <c r="C199" s="42" t="inlineStr">
        <is>
          <t>Клиентский портал</t>
        </is>
      </c>
      <c r="D199" s="42" t="inlineStr">
        <is>
          <t>Страница статуса заказа</t>
        </is>
      </c>
      <c r="E199" s="43" t="n">
        <v>1.17</v>
      </c>
      <c r="F199" s="42" t="inlineStr">
        <is>
          <t>Да</t>
        </is>
      </c>
      <c r="G199" s="44">
        <f>IF(billInc&gt;0,ROUNDUP(tblLog[[#This Row],[Часы]]/billInc,0)*billInc,tblLog[[#This Row],[Часы]])</f>
        <v>1.25</v>
      </c>
      <c r="H199" s="45">
        <f>IFERROR(INDEX(tblRates[СтавкаКлиенту],MATCH(tblLog[[#This Row],[Сотрудник]],tblRates[Сотрудник],0)),0)</f>
        <v>1900</v>
      </c>
      <c r="I199" s="45">
        <f>IF(tblLog[[#This Row],[Оплачиваемо]]=yesFlag,ROUND(tblLog[[#This Row],[ЧасыКОплате]]*tblLog[[#This Row],[Ставка]],2),0)</f>
        <v>2375</v>
      </c>
      <c r="J199" s="45">
        <f>IFERROR(INDEX(tblRates[СтавкаСотруднику],MATCH(tblLog[[#This Row],[Сотрудник]],tblRates[Сотрудник],0)),0)</f>
        <v>1200</v>
      </c>
      <c r="K199" s="45">
        <f>ROUND(tblLog[[#This Row],[Часы]]*tblLog[[#This Row],[СтавкаЗП]],2)</f>
        <v>1404</v>
      </c>
    </row>
    <row r="200">
      <c r="A200" s="41" t="n">
        <v>46279</v>
      </c>
      <c r="B200" s="42" t="inlineStr">
        <is>
          <t>Сольберг Мира</t>
        </is>
      </c>
      <c r="C200" s="42" t="inlineStr">
        <is>
          <t>Клиентский портал</t>
        </is>
      </c>
      <c r="D200" s="42" t="inlineStr">
        <is>
          <t>Авторизация и роли</t>
        </is>
      </c>
      <c r="E200" s="43" t="n">
        <v>0.86</v>
      </c>
      <c r="F200" s="42" t="inlineStr">
        <is>
          <t>Да</t>
        </is>
      </c>
      <c r="G200" s="44">
        <f>IF(billInc&gt;0,ROUNDUP(tblLog[[#This Row],[Часы]]/billInc,0)*billInc,tblLog[[#This Row],[Часы]])</f>
        <v>1</v>
      </c>
      <c r="H200" s="45">
        <f>IFERROR(INDEX(tblRates[СтавкаКлиенту],MATCH(tblLog[[#This Row],[Сотрудник]],tblRates[Сотрудник],0)),0)</f>
        <v>3500</v>
      </c>
      <c r="I200" s="45">
        <f>IF(tblLog[[#This Row],[Оплачиваемо]]=yesFlag,ROUND(tblLog[[#This Row],[ЧасыКОплате]]*tblLog[[#This Row],[Ставка]],2),0)</f>
        <v>3500</v>
      </c>
      <c r="J200" s="45">
        <f>IFERROR(INDEX(tblRates[СтавкаСотруднику],MATCH(tblLog[[#This Row],[Сотрудник]],tblRates[Сотрудник],0)),0)</f>
        <v>2400</v>
      </c>
      <c r="K200" s="45">
        <f>ROUND(tblLog[[#This Row],[Часы]]*tblLog[[#This Row],[СтавкаЗП]],2)</f>
        <v>2064</v>
      </c>
    </row>
    <row r="201">
      <c r="A201" s="41" t="n">
        <v>46279</v>
      </c>
      <c r="B201" s="42" t="inlineStr">
        <is>
          <t>Сольберг Мира</t>
        </is>
      </c>
      <c r="C201" s="42" t="inlineStr">
        <is>
          <t>Поддержка</t>
        </is>
      </c>
      <c r="D201" s="42" t="inlineStr">
        <is>
          <t>Обновление сервера</t>
        </is>
      </c>
      <c r="E201" s="43" t="n">
        <v>3.3</v>
      </c>
      <c r="F201" s="42" t="inlineStr">
        <is>
          <t>Да</t>
        </is>
      </c>
      <c r="G201" s="44">
        <f>IF(billInc&gt;0,ROUNDUP(tblLog[[#This Row],[Часы]]/billInc,0)*billInc,tblLog[[#This Row],[Часы]])</f>
        <v>3.5</v>
      </c>
      <c r="H201" s="45">
        <f>IFERROR(INDEX(tblRates[СтавкаКлиенту],MATCH(tblLog[[#This Row],[Сотрудник]],tblRates[Сотрудник],0)),0)</f>
        <v>3500</v>
      </c>
      <c r="I201" s="45">
        <f>IF(tblLog[[#This Row],[Оплачиваемо]]=yesFlag,ROUND(tblLog[[#This Row],[ЧасыКОплате]]*tblLog[[#This Row],[Ставка]],2),0)</f>
        <v>12250</v>
      </c>
      <c r="J201" s="45">
        <f>IFERROR(INDEX(tblRates[СтавкаСотруднику],MATCH(tblLog[[#This Row],[Сотрудник]],tblRates[Сотрудник],0)),0)</f>
        <v>2400</v>
      </c>
      <c r="K201" s="45">
        <f>ROUND(tblLog[[#This Row],[Часы]]*tblLog[[#This Row],[СтавкаЗП]],2)</f>
        <v>7920</v>
      </c>
    </row>
    <row r="202">
      <c r="A202" s="41" t="n">
        <v>46279</v>
      </c>
      <c r="B202" s="42" t="inlineStr">
        <is>
          <t>Сольберг Мира</t>
        </is>
      </c>
      <c r="C202" s="42" t="inlineStr">
        <is>
          <t>Поддержка</t>
        </is>
      </c>
      <c r="D202" s="42" t="inlineStr">
        <is>
          <t>Исправление ошибок</t>
        </is>
      </c>
      <c r="E202" s="43" t="n">
        <v>3.34</v>
      </c>
      <c r="F202" s="42" t="inlineStr">
        <is>
          <t>Нет</t>
        </is>
      </c>
      <c r="G202" s="44">
        <f>IF(billInc&gt;0,ROUNDUP(tblLog[[#This Row],[Часы]]/billInc,0)*billInc,tblLog[[#This Row],[Часы]])</f>
        <v>3.5</v>
      </c>
      <c r="H202" s="45">
        <f>IFERROR(INDEX(tblRates[СтавкаКлиенту],MATCH(tblLog[[#This Row],[Сотрудник]],tblRates[Сотрудник],0)),0)</f>
        <v>3500</v>
      </c>
      <c r="I202" s="45">
        <f>IF(tblLog[[#This Row],[Оплачиваемо]]=yesFlag,ROUND(tblLog[[#This Row],[ЧасыКОплате]]*tblLog[[#This Row],[Ставка]],2),0)</f>
        <v>0</v>
      </c>
      <c r="J202" s="45">
        <f>IFERROR(INDEX(tblRates[СтавкаСотруднику],MATCH(tblLog[[#This Row],[Сотрудник]],tblRates[Сотрудник],0)),0)</f>
        <v>2400</v>
      </c>
      <c r="K202" s="45">
        <f>ROUND(tblLog[[#This Row],[Часы]]*tblLog[[#This Row],[СтавкаЗП]],2)</f>
        <v>8016</v>
      </c>
    </row>
    <row r="203">
      <c r="A203" s="41" t="n">
        <v>46280</v>
      </c>
      <c r="B203" s="42" t="inlineStr">
        <is>
          <t>Бреннер Лука</t>
        </is>
      </c>
      <c r="C203" s="42" t="inlineStr">
        <is>
          <t>Мобильное приложение для цеха</t>
        </is>
      </c>
      <c r="D203" s="42" t="inlineStr">
        <is>
          <t>Офлайн-синхронизация</t>
        </is>
      </c>
      <c r="E203" s="43" t="n">
        <v>0.88</v>
      </c>
      <c r="F203" s="42" t="inlineStr">
        <is>
          <t>Да</t>
        </is>
      </c>
      <c r="G203" s="44">
        <f>IF(billInc&gt;0,ROUNDUP(tblLog[[#This Row],[Часы]]/billInc,0)*billInc,tblLog[[#This Row],[Часы]])</f>
        <v>1</v>
      </c>
      <c r="H203" s="45">
        <f>IFERROR(INDEX(tblRates[СтавкаКлиенту],MATCH(tblLog[[#This Row],[Сотрудник]],tblRates[Сотрудник],0)),0)</f>
        <v>2300</v>
      </c>
      <c r="I203" s="45">
        <f>IF(tblLog[[#This Row],[Оплачиваемо]]=yesFlag,ROUND(tblLog[[#This Row],[ЧасыКОплате]]*tblLog[[#This Row],[Ставка]],2),0)</f>
        <v>2300</v>
      </c>
      <c r="J203" s="45">
        <f>IFERROR(INDEX(tblRates[СтавкаСотруднику],MATCH(tblLog[[#This Row],[Сотрудник]],tblRates[Сотрудник],0)),0)</f>
        <v>1500</v>
      </c>
      <c r="K203" s="45">
        <f>ROUND(tblLog[[#This Row],[Часы]]*tblLog[[#This Row],[СтавкаЗП]],2)</f>
        <v>1320</v>
      </c>
    </row>
    <row r="204">
      <c r="A204" s="41" t="n">
        <v>46280</v>
      </c>
      <c r="B204" s="42" t="inlineStr">
        <is>
          <t>Бреннер Лука</t>
        </is>
      </c>
      <c r="C204" s="42" t="inlineStr">
        <is>
          <t>Клиентский портал</t>
        </is>
      </c>
      <c r="D204" s="42" t="inlineStr">
        <is>
          <t>Выгрузка отчётов</t>
        </is>
      </c>
      <c r="E204" s="43" t="n">
        <v>1.1</v>
      </c>
      <c r="F204" s="42" t="inlineStr">
        <is>
          <t>Да</t>
        </is>
      </c>
      <c r="G204" s="44">
        <f>IF(billInc&gt;0,ROUNDUP(tblLog[[#This Row],[Часы]]/billInc,0)*billInc,tblLog[[#This Row],[Часы]])</f>
        <v>1.25</v>
      </c>
      <c r="H204" s="45">
        <f>IFERROR(INDEX(tblRates[СтавкаКлиенту],MATCH(tblLog[[#This Row],[Сотрудник]],tblRates[Сотрудник],0)),0)</f>
        <v>2300</v>
      </c>
      <c r="I204" s="45">
        <f>IF(tblLog[[#This Row],[Оплачиваемо]]=yesFlag,ROUND(tblLog[[#This Row],[ЧасыКОплате]]*tblLog[[#This Row],[Ставка]],2),0)</f>
        <v>2875</v>
      </c>
      <c r="J204" s="45">
        <f>IFERROR(INDEX(tblRates[СтавкаСотруднику],MATCH(tblLog[[#This Row],[Сотрудник]],tblRates[Сотрудник],0)),0)</f>
        <v>1500</v>
      </c>
      <c r="K204" s="45">
        <f>ROUND(tblLog[[#This Row],[Часы]]*tblLog[[#This Row],[СтавкаЗП]],2)</f>
        <v>1650</v>
      </c>
    </row>
    <row r="205">
      <c r="A205" s="41" t="n">
        <v>46280</v>
      </c>
      <c r="B205" s="42" t="inlineStr">
        <is>
          <t>Бреннер Лука</t>
        </is>
      </c>
      <c r="C205" s="42" t="inlineStr">
        <is>
          <t>Мобильное приложение для цеха</t>
        </is>
      </c>
      <c r="D205" s="42" t="inlineStr">
        <is>
          <t>Push-уведомления</t>
        </is>
      </c>
      <c r="E205" s="43" t="n">
        <v>1.37</v>
      </c>
      <c r="F205" s="42" t="inlineStr">
        <is>
          <t>Да</t>
        </is>
      </c>
      <c r="G205" s="44">
        <f>IF(billInc&gt;0,ROUNDUP(tblLog[[#This Row],[Часы]]/billInc,0)*billInc,tblLog[[#This Row],[Часы]])</f>
        <v>1.5</v>
      </c>
      <c r="H205" s="45">
        <f>IFERROR(INDEX(tblRates[СтавкаКлиенту],MATCH(tblLog[[#This Row],[Сотрудник]],tblRates[Сотрудник],0)),0)</f>
        <v>2300</v>
      </c>
      <c r="I205" s="45">
        <f>IF(tblLog[[#This Row],[Оплачиваемо]]=yesFlag,ROUND(tblLog[[#This Row],[ЧасыКОплате]]*tblLog[[#This Row],[Ставка]],2),0)</f>
        <v>3450</v>
      </c>
      <c r="J205" s="45">
        <f>IFERROR(INDEX(tblRates[СтавкаСотруднику],MATCH(tblLog[[#This Row],[Сотрудник]],tblRates[Сотрудник],0)),0)</f>
        <v>1500</v>
      </c>
      <c r="K205" s="45">
        <f>ROUND(tblLog[[#This Row],[Часы]]*tblLog[[#This Row],[СтавкаЗП]],2)</f>
        <v>2055</v>
      </c>
    </row>
    <row r="206">
      <c r="A206" s="41" t="n">
        <v>46280</v>
      </c>
      <c r="B206" s="42" t="inlineStr">
        <is>
          <t>Бреннер Лука</t>
        </is>
      </c>
      <c r="C206" s="42" t="inlineStr">
        <is>
          <t>Мобильное приложение для цеха</t>
        </is>
      </c>
      <c r="D206" s="42" t="inlineStr">
        <is>
          <t>Push-уведомления</t>
        </is>
      </c>
      <c r="E206" s="43" t="n">
        <v>1.74</v>
      </c>
      <c r="F206" s="42" t="inlineStr">
        <is>
          <t>Да</t>
        </is>
      </c>
      <c r="G206" s="44">
        <f>IF(billInc&gt;0,ROUNDUP(tblLog[[#This Row],[Часы]]/billInc,0)*billInc,tblLog[[#This Row],[Часы]])</f>
        <v>1.75</v>
      </c>
      <c r="H206" s="45">
        <f>IFERROR(INDEX(tblRates[СтавкаКлиенту],MATCH(tblLog[[#This Row],[Сотрудник]],tblRates[Сотрудник],0)),0)</f>
        <v>2300</v>
      </c>
      <c r="I206" s="45">
        <f>IF(tblLog[[#This Row],[Оплачиваемо]]=yesFlag,ROUND(tblLog[[#This Row],[ЧасыКОплате]]*tblLog[[#This Row],[Ставка]],2),0)</f>
        <v>4025</v>
      </c>
      <c r="J206" s="45">
        <f>IFERROR(INDEX(tblRates[СтавкаСотруднику],MATCH(tblLog[[#This Row],[Сотрудник]],tblRates[Сотрудник],0)),0)</f>
        <v>1500</v>
      </c>
      <c r="K206" s="45">
        <f>ROUND(tblLog[[#This Row],[Часы]]*tblLog[[#This Row],[СтавкаЗП]],2)</f>
        <v>2610</v>
      </c>
    </row>
    <row r="207">
      <c r="A207" s="41" t="n">
        <v>46280</v>
      </c>
      <c r="B207" s="42" t="inlineStr">
        <is>
          <t>Бреннер Лука</t>
        </is>
      </c>
      <c r="C207" s="42" t="inlineStr">
        <is>
          <t>Клиентский портал</t>
        </is>
      </c>
      <c r="D207" s="42" t="inlineStr">
        <is>
          <t>Авторизация и роли</t>
        </is>
      </c>
      <c r="E207" s="43" t="n">
        <v>1.48</v>
      </c>
      <c r="F207" s="42" t="inlineStr">
        <is>
          <t>Да</t>
        </is>
      </c>
      <c r="G207" s="44">
        <f>IF(billInc&gt;0,ROUNDUP(tblLog[[#This Row],[Часы]]/billInc,0)*billInc,tblLog[[#This Row],[Часы]])</f>
        <v>1.5</v>
      </c>
      <c r="H207" s="45">
        <f>IFERROR(INDEX(tblRates[СтавкаКлиенту],MATCH(tblLog[[#This Row],[Сотрудник]],tblRates[Сотрудник],0)),0)</f>
        <v>2300</v>
      </c>
      <c r="I207" s="45">
        <f>IF(tblLog[[#This Row],[Оплачиваемо]]=yesFlag,ROUND(tblLog[[#This Row],[ЧасыКОплате]]*tblLog[[#This Row],[Ставка]],2),0)</f>
        <v>3450</v>
      </c>
      <c r="J207" s="45">
        <f>IFERROR(INDEX(tblRates[СтавкаСотруднику],MATCH(tblLog[[#This Row],[Сотрудник]],tblRates[Сотрудник],0)),0)</f>
        <v>1500</v>
      </c>
      <c r="K207" s="45">
        <f>ROUND(tblLog[[#This Row],[Часы]]*tblLog[[#This Row],[СтавкаЗП]],2)</f>
        <v>2220</v>
      </c>
    </row>
    <row r="208">
      <c r="A208" s="41" t="n">
        <v>46280</v>
      </c>
      <c r="B208" s="42" t="inlineStr">
        <is>
          <t>Бреннер Лука</t>
        </is>
      </c>
      <c r="C208" s="42" t="inlineStr">
        <is>
          <t>Клиентский портал</t>
        </is>
      </c>
      <c r="D208" s="42" t="inlineStr">
        <is>
          <t>Код-ревью</t>
        </is>
      </c>
      <c r="E208" s="43" t="n">
        <v>1.43</v>
      </c>
      <c r="F208" s="42" t="inlineStr">
        <is>
          <t>Да</t>
        </is>
      </c>
      <c r="G208" s="44">
        <f>IF(billInc&gt;0,ROUNDUP(tblLog[[#This Row],[Часы]]/billInc,0)*billInc,tblLog[[#This Row],[Часы]])</f>
        <v>1.5</v>
      </c>
      <c r="H208" s="45">
        <f>IFERROR(INDEX(tblRates[СтавкаКлиенту],MATCH(tblLog[[#This Row],[Сотрудник]],tblRates[Сотрудник],0)),0)</f>
        <v>2300</v>
      </c>
      <c r="I208" s="45">
        <f>IF(tblLog[[#This Row],[Оплачиваемо]]=yesFlag,ROUND(tblLog[[#This Row],[ЧасыКОплате]]*tblLog[[#This Row],[Ставка]],2),0)</f>
        <v>3450</v>
      </c>
      <c r="J208" s="45">
        <f>IFERROR(INDEX(tblRates[СтавкаСотруднику],MATCH(tblLog[[#This Row],[Сотрудник]],tblRates[Сотрудник],0)),0)</f>
        <v>1500</v>
      </c>
      <c r="K208" s="45">
        <f>ROUND(tblLog[[#This Row],[Часы]]*tblLog[[#This Row],[СтавкаЗП]],2)</f>
        <v>2145</v>
      </c>
    </row>
    <row r="209">
      <c r="A209" s="41" t="n">
        <v>46280</v>
      </c>
      <c r="B209" s="42" t="inlineStr">
        <is>
          <t>Варга Тео</t>
        </is>
      </c>
      <c r="C209" s="42" t="inlineStr">
        <is>
          <t>Мобильное приложение для цеха</t>
        </is>
      </c>
      <c r="D209" s="42" t="inlineStr">
        <is>
          <t>Офлайн-синхронизация</t>
        </is>
      </c>
      <c r="E209" s="43" t="n">
        <v>2.08</v>
      </c>
      <c r="F209" s="42" t="inlineStr">
        <is>
          <t>Да</t>
        </is>
      </c>
      <c r="G209" s="44">
        <f>IF(billInc&gt;0,ROUNDUP(tblLog[[#This Row],[Часы]]/billInc,0)*billInc,tblLog[[#This Row],[Часы]])</f>
        <v>2.25</v>
      </c>
      <c r="H209" s="45">
        <f>IFERROR(INDEX(tblRates[СтавкаКлиенту],MATCH(tblLog[[#This Row],[Сотрудник]],tblRates[Сотрудник],0)),0)</f>
        <v>2600</v>
      </c>
      <c r="I209" s="45">
        <f>IF(tblLog[[#This Row],[Оплачиваемо]]=yesFlag,ROUND(tblLog[[#This Row],[ЧасыКОплате]]*tblLog[[#This Row],[Ставка]],2),0)</f>
        <v>5850</v>
      </c>
      <c r="J209" s="45">
        <f>IFERROR(INDEX(tblRates[СтавкаСотруднику],MATCH(tblLog[[#This Row],[Сотрудник]],tblRates[Сотрудник],0)),0)</f>
        <v>1700</v>
      </c>
      <c r="K209" s="45">
        <f>ROUND(tblLog[[#This Row],[Часы]]*tblLog[[#This Row],[СтавкаЗП]],2)</f>
        <v>3536</v>
      </c>
    </row>
    <row r="210">
      <c r="A210" s="41" t="n">
        <v>46280</v>
      </c>
      <c r="B210" s="42" t="inlineStr">
        <is>
          <t>Варга Тео</t>
        </is>
      </c>
      <c r="C210" s="42" t="inlineStr">
        <is>
          <t>Клиентский портал</t>
        </is>
      </c>
      <c r="D210" s="42" t="inlineStr">
        <is>
          <t>Авторизация и роли</t>
        </is>
      </c>
      <c r="E210" s="43" t="n">
        <v>1</v>
      </c>
      <c r="F210" s="42" t="inlineStr">
        <is>
          <t>Да</t>
        </is>
      </c>
      <c r="G210" s="44">
        <f>IF(billInc&gt;0,ROUNDUP(tblLog[[#This Row],[Часы]]/billInc,0)*billInc,tblLog[[#This Row],[Часы]])</f>
        <v>1</v>
      </c>
      <c r="H210" s="45">
        <f>IFERROR(INDEX(tblRates[СтавкаКлиенту],MATCH(tblLog[[#This Row],[Сотрудник]],tblRates[Сотрудник],0)),0)</f>
        <v>2600</v>
      </c>
      <c r="I210" s="45">
        <f>IF(tblLog[[#This Row],[Оплачиваемо]]=yesFlag,ROUND(tblLog[[#This Row],[ЧасыКОплате]]*tblLog[[#This Row],[Ставка]],2),0)</f>
        <v>2600</v>
      </c>
      <c r="J210" s="45">
        <f>IFERROR(INDEX(tblRates[СтавкаСотруднику],MATCH(tblLog[[#This Row],[Сотрудник]],tblRates[Сотрудник],0)),0)</f>
        <v>1700</v>
      </c>
      <c r="K210" s="45">
        <f>ROUND(tblLog[[#This Row],[Часы]]*tblLog[[#This Row],[СтавкаЗП]],2)</f>
        <v>1700</v>
      </c>
    </row>
    <row r="211">
      <c r="A211" s="41" t="n">
        <v>46280</v>
      </c>
      <c r="B211" s="42" t="inlineStr">
        <is>
          <t>Варга Тео</t>
        </is>
      </c>
      <c r="C211" s="42" t="inlineStr">
        <is>
          <t>Мобильное приложение для цеха</t>
        </is>
      </c>
      <c r="D211" s="42" t="inlineStr">
        <is>
          <t>Сканирование штрихкодов</t>
        </is>
      </c>
      <c r="E211" s="43" t="n">
        <v>1.6</v>
      </c>
      <c r="F211" s="42" t="inlineStr">
        <is>
          <t>Да</t>
        </is>
      </c>
      <c r="G211" s="44">
        <f>IF(billInc&gt;0,ROUNDUP(tblLog[[#This Row],[Часы]]/billInc,0)*billInc,tblLog[[#This Row],[Часы]])</f>
        <v>1.75</v>
      </c>
      <c r="H211" s="45">
        <f>IFERROR(INDEX(tblRates[СтавкаКлиенту],MATCH(tblLog[[#This Row],[Сотрудник]],tblRates[Сотрудник],0)),0)</f>
        <v>2600</v>
      </c>
      <c r="I211" s="45">
        <f>IF(tblLog[[#This Row],[Оплачиваемо]]=yesFlag,ROUND(tblLog[[#This Row],[ЧасыКОплате]]*tblLog[[#This Row],[Ставка]],2),0)</f>
        <v>4550</v>
      </c>
      <c r="J211" s="45">
        <f>IFERROR(INDEX(tblRates[СтавкаСотруднику],MATCH(tblLog[[#This Row],[Сотрудник]],tblRates[Сотрудник],0)),0)</f>
        <v>1700</v>
      </c>
      <c r="K211" s="45">
        <f>ROUND(tblLog[[#This Row],[Часы]]*tblLog[[#This Row],[СтавкаЗП]],2)</f>
        <v>2720</v>
      </c>
    </row>
    <row r="212">
      <c r="A212" s="41" t="n">
        <v>46280</v>
      </c>
      <c r="B212" s="42" t="inlineStr">
        <is>
          <t>Варга Тео</t>
        </is>
      </c>
      <c r="C212" s="42" t="inlineStr">
        <is>
          <t>Клиентский портал</t>
        </is>
      </c>
      <c r="D212" s="42" t="inlineStr">
        <is>
          <t>Авторизация и роли</t>
        </is>
      </c>
      <c r="E212" s="43" t="n">
        <v>2.32</v>
      </c>
      <c r="F212" s="42" t="inlineStr">
        <is>
          <t>Да</t>
        </is>
      </c>
      <c r="G212" s="44">
        <f>IF(billInc&gt;0,ROUNDUP(tblLog[[#This Row],[Часы]]/billInc,0)*billInc,tblLog[[#This Row],[Часы]])</f>
        <v>2.5</v>
      </c>
      <c r="H212" s="45">
        <f>IFERROR(INDEX(tblRates[СтавкаКлиенту],MATCH(tblLog[[#This Row],[Сотрудник]],tblRates[Сотрудник],0)),0)</f>
        <v>2600</v>
      </c>
      <c r="I212" s="45">
        <f>IF(tblLog[[#This Row],[Оплачиваемо]]=yesFlag,ROUND(tblLog[[#This Row],[ЧасыКОплате]]*tblLog[[#This Row],[Ставка]],2),0)</f>
        <v>6500</v>
      </c>
      <c r="J212" s="45">
        <f>IFERROR(INDEX(tblRates[СтавкаСотруднику],MATCH(tblLog[[#This Row],[Сотрудник]],tblRates[Сотрудник],0)),0)</f>
        <v>1700</v>
      </c>
      <c r="K212" s="45">
        <f>ROUND(tblLog[[#This Row],[Часы]]*tblLog[[#This Row],[СтавкаЗП]],2)</f>
        <v>3944</v>
      </c>
    </row>
    <row r="213">
      <c r="A213" s="41" t="n">
        <v>46280</v>
      </c>
      <c r="B213" s="42" t="inlineStr">
        <is>
          <t>Окафор Инес</t>
        </is>
      </c>
      <c r="C213" s="42" t="inlineStr">
        <is>
          <t>Мобильное приложение для цеха</t>
        </is>
      </c>
      <c r="D213" s="42" t="inlineStr">
        <is>
          <t>Офлайн-синхронизация</t>
        </is>
      </c>
      <c r="E213" s="43" t="n">
        <v>3.47</v>
      </c>
      <c r="F213" s="42" t="inlineStr">
        <is>
          <t>Да</t>
        </is>
      </c>
      <c r="G213" s="44">
        <f>IF(billInc&gt;0,ROUNDUP(tblLog[[#This Row],[Часы]]/billInc,0)*billInc,tblLog[[#This Row],[Часы]])</f>
        <v>3.5</v>
      </c>
      <c r="H213" s="45">
        <f>IFERROR(INDEX(tblRates[СтавкаКлиенту],MATCH(tblLog[[#This Row],[Сотрудник]],tblRates[Сотрудник],0)),0)</f>
        <v>1900</v>
      </c>
      <c r="I213" s="45">
        <f>IF(tblLog[[#This Row],[Оплачиваемо]]=yesFlag,ROUND(tblLog[[#This Row],[ЧасыКОплате]]*tblLog[[#This Row],[Ставка]],2),0)</f>
        <v>6650</v>
      </c>
      <c r="J213" s="45">
        <f>IFERROR(INDEX(tblRates[СтавкаСотруднику],MATCH(tblLog[[#This Row],[Сотрудник]],tblRates[Сотрудник],0)),0)</f>
        <v>1200</v>
      </c>
      <c r="K213" s="45">
        <f>ROUND(tblLog[[#This Row],[Часы]]*tblLog[[#This Row],[СтавкаЗП]],2)</f>
        <v>4164</v>
      </c>
    </row>
    <row r="214">
      <c r="A214" s="41" t="n">
        <v>46280</v>
      </c>
      <c r="B214" s="42" t="inlineStr">
        <is>
          <t>Окафор Инес</t>
        </is>
      </c>
      <c r="C214" s="42" t="inlineStr">
        <is>
          <t>Клиентский портал</t>
        </is>
      </c>
      <c r="D214" s="42" t="inlineStr">
        <is>
          <t>Выгрузка отчётов</t>
        </is>
      </c>
      <c r="E214" s="43" t="n">
        <v>0.72</v>
      </c>
      <c r="F214" s="42" t="inlineStr">
        <is>
          <t>Да</t>
        </is>
      </c>
      <c r="G214" s="44">
        <f>IF(billInc&gt;0,ROUNDUP(tblLog[[#This Row],[Часы]]/billInc,0)*billInc,tblLog[[#This Row],[Часы]])</f>
        <v>0.75</v>
      </c>
      <c r="H214" s="45">
        <f>IFERROR(INDEX(tblRates[СтавкаКлиенту],MATCH(tblLog[[#This Row],[Сотрудник]],tblRates[Сотрудник],0)),0)</f>
        <v>1900</v>
      </c>
      <c r="I214" s="45">
        <f>IF(tblLog[[#This Row],[Оплачиваемо]]=yesFlag,ROUND(tblLog[[#This Row],[ЧасыКОплате]]*tblLog[[#This Row],[Ставка]],2),0)</f>
        <v>1425</v>
      </c>
      <c r="J214" s="45">
        <f>IFERROR(INDEX(tblRates[СтавкаСотруднику],MATCH(tblLog[[#This Row],[Сотрудник]],tblRates[Сотрудник],0)),0)</f>
        <v>1200</v>
      </c>
      <c r="K214" s="45">
        <f>ROUND(tblLog[[#This Row],[Часы]]*tblLog[[#This Row],[СтавкаЗП]],2)</f>
        <v>864</v>
      </c>
    </row>
    <row r="215">
      <c r="A215" s="41" t="n">
        <v>46280</v>
      </c>
      <c r="B215" s="42" t="inlineStr">
        <is>
          <t>Окафор Инес</t>
        </is>
      </c>
      <c r="C215" s="42" t="inlineStr">
        <is>
          <t>Мобильное приложение для цеха</t>
        </is>
      </c>
      <c r="D215" s="42" t="inlineStr">
        <is>
          <t>Сканирование штрихкодов</t>
        </is>
      </c>
      <c r="E215" s="43" t="n">
        <v>1.81</v>
      </c>
      <c r="F215" s="42" t="inlineStr">
        <is>
          <t>Да</t>
        </is>
      </c>
      <c r="G215" s="44">
        <f>IF(billInc&gt;0,ROUNDUP(tblLog[[#This Row],[Часы]]/billInc,0)*billInc,tblLog[[#This Row],[Часы]])</f>
        <v>2</v>
      </c>
      <c r="H215" s="45">
        <f>IFERROR(INDEX(tblRates[СтавкаКлиенту],MATCH(tblLog[[#This Row],[Сотрудник]],tblRates[Сотрудник],0)),0)</f>
        <v>1900</v>
      </c>
      <c r="I215" s="45">
        <f>IF(tblLog[[#This Row],[Оплачиваемо]]=yesFlag,ROUND(tblLog[[#This Row],[ЧасыКОплате]]*tblLog[[#This Row],[Ставка]],2),0)</f>
        <v>3800</v>
      </c>
      <c r="J215" s="45">
        <f>IFERROR(INDEX(tblRates[СтавкаСотруднику],MATCH(tblLog[[#This Row],[Сотрудник]],tblRates[Сотрудник],0)),0)</f>
        <v>1200</v>
      </c>
      <c r="K215" s="45">
        <f>ROUND(tblLog[[#This Row],[Часы]]*tblLog[[#This Row],[СтавкаЗП]],2)</f>
        <v>2172</v>
      </c>
    </row>
    <row r="216">
      <c r="A216" s="41" t="n">
        <v>46280</v>
      </c>
      <c r="B216" s="42" t="inlineStr">
        <is>
          <t>Сольберг Мира</t>
        </is>
      </c>
      <c r="C216" s="42" t="inlineStr">
        <is>
          <t>Поддержка</t>
        </is>
      </c>
      <c r="D216" s="42" t="inlineStr">
        <is>
          <t>Обновление сервера</t>
        </is>
      </c>
      <c r="E216" s="43" t="n">
        <v>4.04</v>
      </c>
      <c r="F216" s="42" t="inlineStr">
        <is>
          <t>Да</t>
        </is>
      </c>
      <c r="G216" s="44">
        <f>IF(billInc&gt;0,ROUNDUP(tblLog[[#This Row],[Часы]]/billInc,0)*billInc,tblLog[[#This Row],[Часы]])</f>
        <v>4.25</v>
      </c>
      <c r="H216" s="45">
        <f>IFERROR(INDEX(tblRates[СтавкаКлиенту],MATCH(tblLog[[#This Row],[Сотрудник]],tblRates[Сотрудник],0)),0)</f>
        <v>3500</v>
      </c>
      <c r="I216" s="45">
        <f>IF(tblLog[[#This Row],[Оплачиваемо]]=yesFlag,ROUND(tblLog[[#This Row],[ЧасыКОплате]]*tblLog[[#This Row],[Ставка]],2),0)</f>
        <v>14875</v>
      </c>
      <c r="J216" s="45">
        <f>IFERROR(INDEX(tblRates[СтавкаСотруднику],MATCH(tblLog[[#This Row],[Сотрудник]],tblRates[Сотрудник],0)),0)</f>
        <v>2400</v>
      </c>
      <c r="K216" s="45">
        <f>ROUND(tblLog[[#This Row],[Часы]]*tblLog[[#This Row],[СтавкаЗП]],2)</f>
        <v>9696</v>
      </c>
    </row>
    <row r="217">
      <c r="A217" s="41" t="n">
        <v>46280</v>
      </c>
      <c r="B217" s="42" t="inlineStr">
        <is>
          <t>Сольберг Мира</t>
        </is>
      </c>
      <c r="C217" s="42" t="inlineStr">
        <is>
          <t>Мобильное приложение для цеха</t>
        </is>
      </c>
      <c r="D217" s="42" t="inlineStr">
        <is>
          <t>Офлайн-синхронизация</t>
        </is>
      </c>
      <c r="E217" s="43" t="n">
        <v>2.43</v>
      </c>
      <c r="F217" s="42" t="inlineStr">
        <is>
          <t>Да</t>
        </is>
      </c>
      <c r="G217" s="44">
        <f>IF(billInc&gt;0,ROUNDUP(tblLog[[#This Row],[Часы]]/billInc,0)*billInc,tblLog[[#This Row],[Часы]])</f>
        <v>2.5</v>
      </c>
      <c r="H217" s="45">
        <f>IFERROR(INDEX(tblRates[СтавкаКлиенту],MATCH(tblLog[[#This Row],[Сотрудник]],tblRates[Сотрудник],0)),0)</f>
        <v>3500</v>
      </c>
      <c r="I217" s="45">
        <f>IF(tblLog[[#This Row],[Оплачиваемо]]=yesFlag,ROUND(tblLog[[#This Row],[ЧасыКОплате]]*tblLog[[#This Row],[Ставка]],2),0)</f>
        <v>8750</v>
      </c>
      <c r="J217" s="45">
        <f>IFERROR(INDEX(tblRates[СтавкаСотруднику],MATCH(tblLog[[#This Row],[Сотрудник]],tblRates[Сотрудник],0)),0)</f>
        <v>2400</v>
      </c>
      <c r="K217" s="45">
        <f>ROUND(tblLog[[#This Row],[Часы]]*tblLog[[#This Row],[СтавкаЗП]],2)</f>
        <v>5832</v>
      </c>
    </row>
    <row r="218">
      <c r="A218" s="41" t="n">
        <v>46280</v>
      </c>
      <c r="B218" s="42" t="inlineStr">
        <is>
          <t>Сольберг Мира</t>
        </is>
      </c>
      <c r="C218" s="42" t="inlineStr">
        <is>
          <t>Поддержка</t>
        </is>
      </c>
      <c r="D218" s="42" t="inlineStr">
        <is>
          <t>Исправление ошибок</t>
        </is>
      </c>
      <c r="E218" s="43" t="n">
        <v>1.53</v>
      </c>
      <c r="F218" s="42" t="inlineStr">
        <is>
          <t>Нет</t>
        </is>
      </c>
      <c r="G218" s="44">
        <f>IF(billInc&gt;0,ROUNDUP(tblLog[[#This Row],[Часы]]/billInc,0)*billInc,tblLog[[#This Row],[Часы]])</f>
        <v>1.75</v>
      </c>
      <c r="H218" s="45">
        <f>IFERROR(INDEX(tblRates[СтавкаКлиенту],MATCH(tblLog[[#This Row],[Сотрудник]],tblRates[Сотрудник],0)),0)</f>
        <v>3500</v>
      </c>
      <c r="I218" s="45">
        <f>IF(tblLog[[#This Row],[Оплачиваемо]]=yesFlag,ROUND(tblLog[[#This Row],[ЧасыКОплате]]*tblLog[[#This Row],[Ставка]],2),0)</f>
        <v>0</v>
      </c>
      <c r="J218" s="45">
        <f>IFERROR(INDEX(tblRates[СтавкаСотруднику],MATCH(tblLog[[#This Row],[Сотрудник]],tblRates[Сотрудник],0)),0)</f>
        <v>2400</v>
      </c>
      <c r="K218" s="45">
        <f>ROUND(tblLog[[#This Row],[Часы]]*tblLog[[#This Row],[СтавкаЗП]],2)</f>
        <v>3672</v>
      </c>
    </row>
    <row r="219">
      <c r="A219" s="41" t="n">
        <v>46281</v>
      </c>
      <c r="B219" s="42" t="inlineStr">
        <is>
          <t>Бреннер Лука</t>
        </is>
      </c>
      <c r="C219" s="42" t="inlineStr">
        <is>
          <t>Клиентский портал</t>
        </is>
      </c>
      <c r="D219" s="42" t="inlineStr">
        <is>
          <t>Авторизация и роли</t>
        </is>
      </c>
      <c r="E219" s="43" t="n">
        <v>1.62</v>
      </c>
      <c r="F219" s="42" t="inlineStr">
        <is>
          <t>Да</t>
        </is>
      </c>
      <c r="G219" s="44">
        <f>IF(billInc&gt;0,ROUNDUP(tblLog[[#This Row],[Часы]]/billInc,0)*billInc,tblLog[[#This Row],[Часы]])</f>
        <v>1.75</v>
      </c>
      <c r="H219" s="45">
        <f>IFERROR(INDEX(tblRates[СтавкаКлиенту],MATCH(tblLog[[#This Row],[Сотрудник]],tblRates[Сотрудник],0)),0)</f>
        <v>2300</v>
      </c>
      <c r="I219" s="45">
        <f>IF(tblLog[[#This Row],[Оплачиваемо]]=yesFlag,ROUND(tblLog[[#This Row],[ЧасыКОплате]]*tblLog[[#This Row],[Ставка]],2),0)</f>
        <v>4025</v>
      </c>
      <c r="J219" s="45">
        <f>IFERROR(INDEX(tblRates[СтавкаСотруднику],MATCH(tblLog[[#This Row],[Сотрудник]],tblRates[Сотрудник],0)),0)</f>
        <v>1500</v>
      </c>
      <c r="K219" s="45">
        <f>ROUND(tblLog[[#This Row],[Часы]]*tblLog[[#This Row],[СтавкаЗП]],2)</f>
        <v>2430</v>
      </c>
    </row>
    <row r="220">
      <c r="A220" s="41" t="n">
        <v>46281</v>
      </c>
      <c r="B220" s="42" t="inlineStr">
        <is>
          <t>Бреннер Лука</t>
        </is>
      </c>
      <c r="C220" s="42" t="inlineStr">
        <is>
          <t>Мобильное приложение для цеха</t>
        </is>
      </c>
      <c r="D220" s="42" t="inlineStr">
        <is>
          <t>Офлайн-синхронизация</t>
        </is>
      </c>
      <c r="E220" s="43" t="n">
        <v>0.5</v>
      </c>
      <c r="F220" s="42" t="inlineStr">
        <is>
          <t>Да</t>
        </is>
      </c>
      <c r="G220" s="44">
        <f>IF(billInc&gt;0,ROUNDUP(tblLog[[#This Row],[Часы]]/billInc,0)*billInc,tblLog[[#This Row],[Часы]])</f>
        <v>0.5</v>
      </c>
      <c r="H220" s="45">
        <f>IFERROR(INDEX(tblRates[СтавкаКлиенту],MATCH(tblLog[[#This Row],[Сотрудник]],tblRates[Сотрудник],0)),0)</f>
        <v>2300</v>
      </c>
      <c r="I220" s="45">
        <f>IF(tblLog[[#This Row],[Оплачиваемо]]=yesFlag,ROUND(tblLog[[#This Row],[ЧасыКОплате]]*tblLog[[#This Row],[Ставка]],2),0)</f>
        <v>1150</v>
      </c>
      <c r="J220" s="45">
        <f>IFERROR(INDEX(tblRates[СтавкаСотруднику],MATCH(tblLog[[#This Row],[Сотрудник]],tblRates[Сотрудник],0)),0)</f>
        <v>1500</v>
      </c>
      <c r="K220" s="45">
        <f>ROUND(tblLog[[#This Row],[Часы]]*tblLog[[#This Row],[СтавкаЗП]],2)</f>
        <v>750</v>
      </c>
    </row>
    <row r="221">
      <c r="A221" s="41" t="n">
        <v>46281</v>
      </c>
      <c r="B221" s="42" t="inlineStr">
        <is>
          <t>Бреннер Лука</t>
        </is>
      </c>
      <c r="C221" s="42" t="inlineStr">
        <is>
          <t>Мобильное приложение для цеха</t>
        </is>
      </c>
      <c r="D221" s="42" t="inlineStr">
        <is>
          <t>Сканирование штрихкодов</t>
        </is>
      </c>
      <c r="E221" s="43" t="n">
        <v>0.7</v>
      </c>
      <c r="F221" s="42" t="inlineStr">
        <is>
          <t>Да</t>
        </is>
      </c>
      <c r="G221" s="44">
        <f>IF(billInc&gt;0,ROUNDUP(tblLog[[#This Row],[Часы]]/billInc,0)*billInc,tblLog[[#This Row],[Часы]])</f>
        <v>0.75</v>
      </c>
      <c r="H221" s="45">
        <f>IFERROR(INDEX(tblRates[СтавкаКлиенту],MATCH(tblLog[[#This Row],[Сотрудник]],tblRates[Сотрудник],0)),0)</f>
        <v>2300</v>
      </c>
      <c r="I221" s="45">
        <f>IF(tblLog[[#This Row],[Оплачиваемо]]=yesFlag,ROUND(tblLog[[#This Row],[ЧасыКОплате]]*tblLog[[#This Row],[Ставка]],2),0)</f>
        <v>1725</v>
      </c>
      <c r="J221" s="45">
        <f>IFERROR(INDEX(tblRates[СтавкаСотруднику],MATCH(tblLog[[#This Row],[Сотрудник]],tblRates[Сотрудник],0)),0)</f>
        <v>1500</v>
      </c>
      <c r="K221" s="45">
        <f>ROUND(tblLog[[#This Row],[Часы]]*tblLog[[#This Row],[СтавкаЗП]],2)</f>
        <v>1050</v>
      </c>
    </row>
    <row r="222">
      <c r="A222" s="41" t="n">
        <v>46281</v>
      </c>
      <c r="B222" s="42" t="inlineStr">
        <is>
          <t>Бреннер Лука</t>
        </is>
      </c>
      <c r="C222" s="42" t="inlineStr">
        <is>
          <t>Клиентский портал</t>
        </is>
      </c>
      <c r="D222" s="42" t="inlineStr">
        <is>
          <t>Страница статуса заказа</t>
        </is>
      </c>
      <c r="E222" s="43" t="n">
        <v>2.69</v>
      </c>
      <c r="F222" s="42" t="inlineStr">
        <is>
          <t>Да</t>
        </is>
      </c>
      <c r="G222" s="44">
        <f>IF(billInc&gt;0,ROUNDUP(tblLog[[#This Row],[Часы]]/billInc,0)*billInc,tblLog[[#This Row],[Часы]])</f>
        <v>2.75</v>
      </c>
      <c r="H222" s="45">
        <f>IFERROR(INDEX(tblRates[СтавкаКлиенту],MATCH(tblLog[[#This Row],[Сотрудник]],tblRates[Сотрудник],0)),0)</f>
        <v>2300</v>
      </c>
      <c r="I222" s="45">
        <f>IF(tblLog[[#This Row],[Оплачиваемо]]=yesFlag,ROUND(tblLog[[#This Row],[ЧасыКОплате]]*tblLog[[#This Row],[Ставка]],2),0)</f>
        <v>6325</v>
      </c>
      <c r="J222" s="45">
        <f>IFERROR(INDEX(tblRates[СтавкаСотруднику],MATCH(tblLog[[#This Row],[Сотрудник]],tblRates[Сотрудник],0)),0)</f>
        <v>1500</v>
      </c>
      <c r="K222" s="45">
        <f>ROUND(tblLog[[#This Row],[Часы]]*tblLog[[#This Row],[СтавкаЗП]],2)</f>
        <v>4035</v>
      </c>
    </row>
    <row r="223">
      <c r="A223" s="41" t="n">
        <v>46281</v>
      </c>
      <c r="B223" s="42" t="inlineStr">
        <is>
          <t>Бреннер Лука</t>
        </is>
      </c>
      <c r="C223" s="42" t="inlineStr">
        <is>
          <t>Клиентский портал</t>
        </is>
      </c>
      <c r="D223" s="42" t="inlineStr">
        <is>
          <t>Код-ревью</t>
        </is>
      </c>
      <c r="E223" s="43" t="n">
        <v>0.99</v>
      </c>
      <c r="F223" s="42" t="inlineStr">
        <is>
          <t>Да</t>
        </is>
      </c>
      <c r="G223" s="44">
        <f>IF(billInc&gt;0,ROUNDUP(tblLog[[#This Row],[Часы]]/billInc,0)*billInc,tblLog[[#This Row],[Часы]])</f>
        <v>1</v>
      </c>
      <c r="H223" s="45">
        <f>IFERROR(INDEX(tblRates[СтавкаКлиенту],MATCH(tblLog[[#This Row],[Сотрудник]],tblRates[Сотрудник],0)),0)</f>
        <v>2300</v>
      </c>
      <c r="I223" s="45">
        <f>IF(tblLog[[#This Row],[Оплачиваемо]]=yesFlag,ROUND(tblLog[[#This Row],[ЧасыКОплате]]*tblLog[[#This Row],[Ставка]],2),0)</f>
        <v>2300</v>
      </c>
      <c r="J223" s="45">
        <f>IFERROR(INDEX(tblRates[СтавкаСотруднику],MATCH(tblLog[[#This Row],[Сотрудник]],tblRates[Сотрудник],0)),0)</f>
        <v>1500</v>
      </c>
      <c r="K223" s="45">
        <f>ROUND(tblLog[[#This Row],[Часы]]*tblLog[[#This Row],[СтавкаЗП]],2)</f>
        <v>1485</v>
      </c>
    </row>
    <row r="224">
      <c r="A224" s="41" t="n">
        <v>46281</v>
      </c>
      <c r="B224" s="42" t="inlineStr">
        <is>
          <t>Бреннер Лука</t>
        </is>
      </c>
      <c r="C224" s="42" t="inlineStr">
        <is>
          <t>Мобильное приложение для цеха</t>
        </is>
      </c>
      <c r="D224" s="42" t="inlineStr">
        <is>
          <t>Сканирование штрихкодов</t>
        </is>
      </c>
      <c r="E224" s="43" t="n">
        <v>0.84</v>
      </c>
      <c r="F224" s="42" t="inlineStr">
        <is>
          <t>Да</t>
        </is>
      </c>
      <c r="G224" s="44">
        <f>IF(billInc&gt;0,ROUNDUP(tblLog[[#This Row],[Часы]]/billInc,0)*billInc,tblLog[[#This Row],[Часы]])</f>
        <v>1</v>
      </c>
      <c r="H224" s="45">
        <f>IFERROR(INDEX(tblRates[СтавкаКлиенту],MATCH(tblLog[[#This Row],[Сотрудник]],tblRates[Сотрудник],0)),0)</f>
        <v>2300</v>
      </c>
      <c r="I224" s="45">
        <f>IF(tblLog[[#This Row],[Оплачиваемо]]=yesFlag,ROUND(tblLog[[#This Row],[ЧасыКОплате]]*tblLog[[#This Row],[Ставка]],2),0)</f>
        <v>2300</v>
      </c>
      <c r="J224" s="45">
        <f>IFERROR(INDEX(tblRates[СтавкаСотруднику],MATCH(tblLog[[#This Row],[Сотрудник]],tblRates[Сотрудник],0)),0)</f>
        <v>1500</v>
      </c>
      <c r="K224" s="45">
        <f>ROUND(tblLog[[#This Row],[Часы]]*tblLog[[#This Row],[СтавкаЗП]],2)</f>
        <v>1260</v>
      </c>
    </row>
    <row r="225">
      <c r="A225" s="41" t="n">
        <v>46281</v>
      </c>
      <c r="B225" s="42" t="inlineStr">
        <is>
          <t>Бреннер Лука</t>
        </is>
      </c>
      <c r="C225" s="42" t="inlineStr">
        <is>
          <t>Клиентский портал</t>
        </is>
      </c>
      <c r="D225" s="42" t="inlineStr">
        <is>
          <t>Выгрузка отчётов</t>
        </is>
      </c>
      <c r="E225" s="43" t="n">
        <v>1.16</v>
      </c>
      <c r="F225" s="42" t="inlineStr">
        <is>
          <t>Да</t>
        </is>
      </c>
      <c r="G225" s="44">
        <f>IF(billInc&gt;0,ROUNDUP(tblLog[[#This Row],[Часы]]/billInc,0)*billInc,tblLog[[#This Row],[Часы]])</f>
        <v>1.25</v>
      </c>
      <c r="H225" s="45">
        <f>IFERROR(INDEX(tblRates[СтавкаКлиенту],MATCH(tblLog[[#This Row],[Сотрудник]],tblRates[Сотрудник],0)),0)</f>
        <v>2300</v>
      </c>
      <c r="I225" s="45">
        <f>IF(tblLog[[#This Row],[Оплачиваемо]]=yesFlag,ROUND(tblLog[[#This Row],[ЧасыКОплате]]*tblLog[[#This Row],[Ставка]],2),0)</f>
        <v>2875</v>
      </c>
      <c r="J225" s="45">
        <f>IFERROR(INDEX(tblRates[СтавкаСотруднику],MATCH(tblLog[[#This Row],[Сотрудник]],tblRates[Сотрудник],0)),0)</f>
        <v>1500</v>
      </c>
      <c r="K225" s="45">
        <f>ROUND(tblLog[[#This Row],[Часы]]*tblLog[[#This Row],[СтавкаЗП]],2)</f>
        <v>1740</v>
      </c>
    </row>
    <row r="226">
      <c r="A226" s="41" t="n">
        <v>46281</v>
      </c>
      <c r="B226" s="42" t="inlineStr">
        <is>
          <t>Варга Тео</t>
        </is>
      </c>
      <c r="C226" s="42" t="inlineStr">
        <is>
          <t>Клиентский портал</t>
        </is>
      </c>
      <c r="D226" s="42" t="inlineStr">
        <is>
          <t>Авторизация и роли</t>
        </is>
      </c>
      <c r="E226" s="43" t="n">
        <v>2.74</v>
      </c>
      <c r="F226" s="42" t="inlineStr">
        <is>
          <t>Нет</t>
        </is>
      </c>
      <c r="G226" s="44">
        <f>IF(billInc&gt;0,ROUNDUP(tblLog[[#This Row],[Часы]]/billInc,0)*billInc,tblLog[[#This Row],[Часы]])</f>
        <v>2.75</v>
      </c>
      <c r="H226" s="45">
        <f>IFERROR(INDEX(tblRates[СтавкаКлиенту],MATCH(tblLog[[#This Row],[Сотрудник]],tblRates[Сотрудник],0)),0)</f>
        <v>2600</v>
      </c>
      <c r="I226" s="45">
        <f>IF(tblLog[[#This Row],[Оплачиваемо]]=yesFlag,ROUND(tblLog[[#This Row],[ЧасыКОплате]]*tblLog[[#This Row],[Ставка]],2),0)</f>
        <v>0</v>
      </c>
      <c r="J226" s="45">
        <f>IFERROR(INDEX(tblRates[СтавкаСотруднику],MATCH(tblLog[[#This Row],[Сотрудник]],tblRates[Сотрудник],0)),0)</f>
        <v>1700</v>
      </c>
      <c r="K226" s="45">
        <f>ROUND(tblLog[[#This Row],[Часы]]*tblLog[[#This Row],[СтавкаЗП]],2)</f>
        <v>4658</v>
      </c>
    </row>
    <row r="227">
      <c r="A227" s="41" t="n">
        <v>46281</v>
      </c>
      <c r="B227" s="42" t="inlineStr">
        <is>
          <t>Варга Тео</t>
        </is>
      </c>
      <c r="C227" s="42" t="inlineStr">
        <is>
          <t>Мобильное приложение для цеха</t>
        </is>
      </c>
      <c r="D227" s="42" t="inlineStr">
        <is>
          <t>Push-уведомления</t>
        </is>
      </c>
      <c r="E227" s="43" t="n">
        <v>1.53</v>
      </c>
      <c r="F227" s="42" t="inlineStr">
        <is>
          <t>Да</t>
        </is>
      </c>
      <c r="G227" s="44">
        <f>IF(billInc&gt;0,ROUNDUP(tblLog[[#This Row],[Часы]]/billInc,0)*billInc,tblLog[[#This Row],[Часы]])</f>
        <v>1.75</v>
      </c>
      <c r="H227" s="45">
        <f>IFERROR(INDEX(tblRates[СтавкаКлиенту],MATCH(tblLog[[#This Row],[Сотрудник]],tblRates[Сотрудник],0)),0)</f>
        <v>2600</v>
      </c>
      <c r="I227" s="45">
        <f>IF(tblLog[[#This Row],[Оплачиваемо]]=yesFlag,ROUND(tblLog[[#This Row],[ЧасыКОплате]]*tblLog[[#This Row],[Ставка]],2),0)</f>
        <v>4550</v>
      </c>
      <c r="J227" s="45">
        <f>IFERROR(INDEX(tblRates[СтавкаСотруднику],MATCH(tblLog[[#This Row],[Сотрудник]],tblRates[Сотрудник],0)),0)</f>
        <v>1700</v>
      </c>
      <c r="K227" s="45">
        <f>ROUND(tblLog[[#This Row],[Часы]]*tblLog[[#This Row],[СтавкаЗП]],2)</f>
        <v>2601</v>
      </c>
    </row>
    <row r="228">
      <c r="A228" s="41" t="n">
        <v>46281</v>
      </c>
      <c r="B228" s="42" t="inlineStr">
        <is>
          <t>Варга Тео</t>
        </is>
      </c>
      <c r="C228" s="42" t="inlineStr">
        <is>
          <t>Клиентский портал</t>
        </is>
      </c>
      <c r="D228" s="42" t="inlineStr">
        <is>
          <t>Авторизация и роли</t>
        </is>
      </c>
      <c r="E228" s="43" t="n">
        <v>1.73</v>
      </c>
      <c r="F228" s="42" t="inlineStr">
        <is>
          <t>Да</t>
        </is>
      </c>
      <c r="G228" s="44">
        <f>IF(billInc&gt;0,ROUNDUP(tblLog[[#This Row],[Часы]]/billInc,0)*billInc,tblLog[[#This Row],[Часы]])</f>
        <v>1.75</v>
      </c>
      <c r="H228" s="45">
        <f>IFERROR(INDEX(tblRates[СтавкаКлиенту],MATCH(tblLog[[#This Row],[Сотрудник]],tblRates[Сотрудник],0)),0)</f>
        <v>2600</v>
      </c>
      <c r="I228" s="45">
        <f>IF(tblLog[[#This Row],[Оплачиваемо]]=yesFlag,ROUND(tblLog[[#This Row],[ЧасыКОплате]]*tblLog[[#This Row],[Ставка]],2),0)</f>
        <v>4550</v>
      </c>
      <c r="J228" s="45">
        <f>IFERROR(INDEX(tblRates[СтавкаСотруднику],MATCH(tblLog[[#This Row],[Сотрудник]],tblRates[Сотрудник],0)),0)</f>
        <v>1700</v>
      </c>
      <c r="K228" s="45">
        <f>ROUND(tblLog[[#This Row],[Часы]]*tblLog[[#This Row],[СтавкаЗП]],2)</f>
        <v>2941</v>
      </c>
    </row>
    <row r="229">
      <c r="A229" s="41" t="n">
        <v>46281</v>
      </c>
      <c r="B229" s="42" t="inlineStr">
        <is>
          <t>Окафор Инес</t>
        </is>
      </c>
      <c r="C229" s="42" t="inlineStr">
        <is>
          <t>Клиентский портал</t>
        </is>
      </c>
      <c r="D229" s="42" t="inlineStr">
        <is>
          <t>Страница статуса заказа</t>
        </is>
      </c>
      <c r="E229" s="43" t="n">
        <v>1.44</v>
      </c>
      <c r="F229" s="42" t="inlineStr">
        <is>
          <t>Да</t>
        </is>
      </c>
      <c r="G229" s="44">
        <f>IF(billInc&gt;0,ROUNDUP(tblLog[[#This Row],[Часы]]/billInc,0)*billInc,tblLog[[#This Row],[Часы]])</f>
        <v>1.5</v>
      </c>
      <c r="H229" s="45">
        <f>IFERROR(INDEX(tblRates[СтавкаКлиенту],MATCH(tblLog[[#This Row],[Сотрудник]],tblRates[Сотрудник],0)),0)</f>
        <v>1900</v>
      </c>
      <c r="I229" s="45">
        <f>IF(tblLog[[#This Row],[Оплачиваемо]]=yesFlag,ROUND(tblLog[[#This Row],[ЧасыКОплате]]*tblLog[[#This Row],[Ставка]],2),0)</f>
        <v>2850</v>
      </c>
      <c r="J229" s="45">
        <f>IFERROR(INDEX(tblRates[СтавкаСотруднику],MATCH(tblLog[[#This Row],[Сотрудник]],tblRates[Сотрудник],0)),0)</f>
        <v>1200</v>
      </c>
      <c r="K229" s="45">
        <f>ROUND(tblLog[[#This Row],[Часы]]*tblLog[[#This Row],[СтавкаЗП]],2)</f>
        <v>1728</v>
      </c>
    </row>
    <row r="230">
      <c r="A230" s="41" t="n">
        <v>46281</v>
      </c>
      <c r="B230" s="42" t="inlineStr">
        <is>
          <t>Окафор Инес</t>
        </is>
      </c>
      <c r="C230" s="42" t="inlineStr">
        <is>
          <t>Поддержка</t>
        </is>
      </c>
      <c r="D230" s="42" t="inlineStr">
        <is>
          <t>Исправление ошибок</t>
        </is>
      </c>
      <c r="E230" s="43" t="n">
        <v>2.12</v>
      </c>
      <c r="F230" s="42" t="inlineStr">
        <is>
          <t>Да</t>
        </is>
      </c>
      <c r="G230" s="44">
        <f>IF(billInc&gt;0,ROUNDUP(tblLog[[#This Row],[Часы]]/billInc,0)*billInc,tblLog[[#This Row],[Часы]])</f>
        <v>2.25</v>
      </c>
      <c r="H230" s="45">
        <f>IFERROR(INDEX(tblRates[СтавкаКлиенту],MATCH(tblLog[[#This Row],[Сотрудник]],tblRates[Сотрудник],0)),0)</f>
        <v>1900</v>
      </c>
      <c r="I230" s="45">
        <f>IF(tblLog[[#This Row],[Оплачиваемо]]=yesFlag,ROUND(tblLog[[#This Row],[ЧасыКОплате]]*tblLog[[#This Row],[Ставка]],2),0)</f>
        <v>4275</v>
      </c>
      <c r="J230" s="45">
        <f>IFERROR(INDEX(tblRates[СтавкаСотруднику],MATCH(tblLog[[#This Row],[Сотрудник]],tblRates[Сотрудник],0)),0)</f>
        <v>1200</v>
      </c>
      <c r="K230" s="45">
        <f>ROUND(tblLog[[#This Row],[Часы]]*tblLog[[#This Row],[СтавкаЗП]],2)</f>
        <v>2544</v>
      </c>
    </row>
    <row r="231">
      <c r="A231" s="41" t="n">
        <v>46281</v>
      </c>
      <c r="B231" s="42" t="inlineStr">
        <is>
          <t>Окафор Инес</t>
        </is>
      </c>
      <c r="C231" s="42" t="inlineStr">
        <is>
          <t>Клиентский портал</t>
        </is>
      </c>
      <c r="D231" s="42" t="inlineStr">
        <is>
          <t>Страница статуса заказа</t>
        </is>
      </c>
      <c r="E231" s="43" t="n">
        <v>2.5</v>
      </c>
      <c r="F231" s="42" t="inlineStr">
        <is>
          <t>Да</t>
        </is>
      </c>
      <c r="G231" s="44">
        <f>IF(billInc&gt;0,ROUNDUP(tblLog[[#This Row],[Часы]]/billInc,0)*billInc,tblLog[[#This Row],[Часы]])</f>
        <v>2.5</v>
      </c>
      <c r="H231" s="45">
        <f>IFERROR(INDEX(tblRates[СтавкаКлиенту],MATCH(tblLog[[#This Row],[Сотрудник]],tblRates[Сотрудник],0)),0)</f>
        <v>1900</v>
      </c>
      <c r="I231" s="45">
        <f>IF(tblLog[[#This Row],[Оплачиваемо]]=yesFlag,ROUND(tblLog[[#This Row],[ЧасыКОплате]]*tblLog[[#This Row],[Ставка]],2),0)</f>
        <v>4750</v>
      </c>
      <c r="J231" s="45">
        <f>IFERROR(INDEX(tblRates[СтавкаСотруднику],MATCH(tblLog[[#This Row],[Сотрудник]],tblRates[Сотрудник],0)),0)</f>
        <v>1200</v>
      </c>
      <c r="K231" s="45">
        <f>ROUND(tblLog[[#This Row],[Часы]]*tblLog[[#This Row],[СтавкаЗП]],2)</f>
        <v>3000</v>
      </c>
    </row>
    <row r="232">
      <c r="A232" s="41" t="n">
        <v>46281</v>
      </c>
      <c r="B232" s="42" t="inlineStr">
        <is>
          <t>Окафор Инес</t>
        </is>
      </c>
      <c r="C232" s="42" t="inlineStr">
        <is>
          <t>Клиентский портал</t>
        </is>
      </c>
      <c r="D232" s="42" t="inlineStr">
        <is>
          <t>Выгрузка отчётов</t>
        </is>
      </c>
      <c r="E232" s="43" t="n">
        <v>0.96</v>
      </c>
      <c r="F232" s="42" t="inlineStr">
        <is>
          <t>Да</t>
        </is>
      </c>
      <c r="G232" s="44">
        <f>IF(billInc&gt;0,ROUNDUP(tblLog[[#This Row],[Часы]]/billInc,0)*billInc,tblLog[[#This Row],[Часы]])</f>
        <v>1</v>
      </c>
      <c r="H232" s="45">
        <f>IFERROR(INDEX(tblRates[СтавкаКлиенту],MATCH(tblLog[[#This Row],[Сотрудник]],tblRates[Сотрудник],0)),0)</f>
        <v>1900</v>
      </c>
      <c r="I232" s="45">
        <f>IF(tblLog[[#This Row],[Оплачиваемо]]=yesFlag,ROUND(tblLog[[#This Row],[ЧасыКОплате]]*tblLog[[#This Row],[Ставка]],2),0)</f>
        <v>1900</v>
      </c>
      <c r="J232" s="45">
        <f>IFERROR(INDEX(tblRates[СтавкаСотруднику],MATCH(tblLog[[#This Row],[Сотрудник]],tblRates[Сотрудник],0)),0)</f>
        <v>1200</v>
      </c>
      <c r="K232" s="45">
        <f>ROUND(tblLog[[#This Row],[Часы]]*tblLog[[#This Row],[СтавкаЗП]],2)</f>
        <v>1152</v>
      </c>
    </row>
    <row r="233">
      <c r="A233" s="41" t="n">
        <v>46281</v>
      </c>
      <c r="B233" s="42" t="inlineStr">
        <is>
          <t>Окафор Инес</t>
        </is>
      </c>
      <c r="C233" s="42" t="inlineStr">
        <is>
          <t>Клиентский портал</t>
        </is>
      </c>
      <c r="D233" s="42" t="inlineStr">
        <is>
          <t>Код-ревью</t>
        </is>
      </c>
      <c r="E233" s="43" t="n">
        <v>0.9399999999999999</v>
      </c>
      <c r="F233" s="42" t="inlineStr">
        <is>
          <t>Да</t>
        </is>
      </c>
      <c r="G233" s="44">
        <f>IF(billInc&gt;0,ROUNDUP(tblLog[[#This Row],[Часы]]/billInc,0)*billInc,tblLog[[#This Row],[Часы]])</f>
        <v>1</v>
      </c>
      <c r="H233" s="45">
        <f>IFERROR(INDEX(tblRates[СтавкаКлиенту],MATCH(tblLog[[#This Row],[Сотрудник]],tblRates[Сотрудник],0)),0)</f>
        <v>1900</v>
      </c>
      <c r="I233" s="45">
        <f>IF(tblLog[[#This Row],[Оплачиваемо]]=yesFlag,ROUND(tblLog[[#This Row],[ЧасыКОплате]]*tblLog[[#This Row],[Ставка]],2),0)</f>
        <v>1900</v>
      </c>
      <c r="J233" s="45">
        <f>IFERROR(INDEX(tblRates[СтавкаСотруднику],MATCH(tblLog[[#This Row],[Сотрудник]],tblRates[Сотрудник],0)),0)</f>
        <v>1200</v>
      </c>
      <c r="K233" s="45">
        <f>ROUND(tblLog[[#This Row],[Часы]]*tblLog[[#This Row],[СтавкаЗП]],2)</f>
        <v>1128</v>
      </c>
    </row>
    <row r="234">
      <c r="A234" s="41" t="n">
        <v>46281</v>
      </c>
      <c r="B234" s="42" t="inlineStr">
        <is>
          <t>Сольберг Мира</t>
        </is>
      </c>
      <c r="C234" s="42" t="inlineStr">
        <is>
          <t>Клиентский портал</t>
        </is>
      </c>
      <c r="D234" s="42" t="inlineStr">
        <is>
          <t>Авторизация и роли</t>
        </is>
      </c>
      <c r="E234" s="43" t="n">
        <v>3.16</v>
      </c>
      <c r="F234" s="42" t="inlineStr">
        <is>
          <t>Да</t>
        </is>
      </c>
      <c r="G234" s="44">
        <f>IF(billInc&gt;0,ROUNDUP(tblLog[[#This Row],[Часы]]/billInc,0)*billInc,tblLog[[#This Row],[Часы]])</f>
        <v>3.25</v>
      </c>
      <c r="H234" s="45">
        <f>IFERROR(INDEX(tblRates[СтавкаКлиенту],MATCH(tblLog[[#This Row],[Сотрудник]],tblRates[Сотрудник],0)),0)</f>
        <v>3500</v>
      </c>
      <c r="I234" s="45">
        <f>IF(tblLog[[#This Row],[Оплачиваемо]]=yesFlag,ROUND(tblLog[[#This Row],[ЧасыКОплате]]*tblLog[[#This Row],[Ставка]],2),0)</f>
        <v>11375</v>
      </c>
      <c r="J234" s="45">
        <f>IFERROR(INDEX(tblRates[СтавкаСотруднику],MATCH(tblLog[[#This Row],[Сотрудник]],tblRates[Сотрудник],0)),0)</f>
        <v>2400</v>
      </c>
      <c r="K234" s="45">
        <f>ROUND(tblLog[[#This Row],[Часы]]*tblLog[[#This Row],[СтавкаЗП]],2)</f>
        <v>7584</v>
      </c>
    </row>
    <row r="235">
      <c r="A235" s="41" t="n">
        <v>46281</v>
      </c>
      <c r="B235" s="42" t="inlineStr">
        <is>
          <t>Сольберг Мира</t>
        </is>
      </c>
      <c r="C235" s="42" t="inlineStr">
        <is>
          <t>Поддержка</t>
        </is>
      </c>
      <c r="D235" s="42" t="inlineStr">
        <is>
          <t>Созвон с клиентом</t>
        </is>
      </c>
      <c r="E235" s="43" t="n">
        <v>0.95</v>
      </c>
      <c r="F235" s="42" t="inlineStr">
        <is>
          <t>Нет</t>
        </is>
      </c>
      <c r="G235" s="44">
        <f>IF(billInc&gt;0,ROUNDUP(tblLog[[#This Row],[Часы]]/billInc,0)*billInc,tblLog[[#This Row],[Часы]])</f>
        <v>1</v>
      </c>
      <c r="H235" s="45">
        <f>IFERROR(INDEX(tblRates[СтавкаКлиенту],MATCH(tblLog[[#This Row],[Сотрудник]],tblRates[Сотрудник],0)),0)</f>
        <v>3500</v>
      </c>
      <c r="I235" s="45">
        <f>IF(tblLog[[#This Row],[Оплачиваемо]]=yesFlag,ROUND(tblLog[[#This Row],[ЧасыКОплате]]*tblLog[[#This Row],[Ставка]],2),0)</f>
        <v>0</v>
      </c>
      <c r="J235" s="45">
        <f>IFERROR(INDEX(tblRates[СтавкаСотруднику],MATCH(tblLog[[#This Row],[Сотрудник]],tblRates[Сотрудник],0)),0)</f>
        <v>2400</v>
      </c>
      <c r="K235" s="45">
        <f>ROUND(tblLog[[#This Row],[Часы]]*tblLog[[#This Row],[СтавкаЗП]],2)</f>
        <v>2280</v>
      </c>
    </row>
    <row r="236">
      <c r="A236" s="41" t="n">
        <v>46281</v>
      </c>
      <c r="B236" s="42" t="inlineStr">
        <is>
          <t>Сольберг Мира</t>
        </is>
      </c>
      <c r="C236" s="42" t="inlineStr">
        <is>
          <t>Клиентский портал</t>
        </is>
      </c>
      <c r="D236" s="42" t="inlineStr">
        <is>
          <t>Страница статуса заказа</t>
        </is>
      </c>
      <c r="E236" s="43" t="n">
        <v>1.98</v>
      </c>
      <c r="F236" s="42" t="inlineStr">
        <is>
          <t>Да</t>
        </is>
      </c>
      <c r="G236" s="44">
        <f>IF(billInc&gt;0,ROUNDUP(tblLog[[#This Row],[Часы]]/billInc,0)*billInc,tblLog[[#This Row],[Часы]])</f>
        <v>2</v>
      </c>
      <c r="H236" s="45">
        <f>IFERROR(INDEX(tblRates[СтавкаКлиенту],MATCH(tblLog[[#This Row],[Сотрудник]],tblRates[Сотрудник],0)),0)</f>
        <v>3500</v>
      </c>
      <c r="I236" s="45">
        <f>IF(tblLog[[#This Row],[Оплачиваемо]]=yesFlag,ROUND(tblLog[[#This Row],[ЧасыКОплате]]*tblLog[[#This Row],[Ставка]],2),0)</f>
        <v>7000</v>
      </c>
      <c r="J236" s="45">
        <f>IFERROR(INDEX(tblRates[СтавкаСотруднику],MATCH(tblLog[[#This Row],[Сотрудник]],tblRates[Сотрудник],0)),0)</f>
        <v>2400</v>
      </c>
      <c r="K236" s="45">
        <f>ROUND(tblLog[[#This Row],[Часы]]*tblLog[[#This Row],[СтавкаЗП]],2)</f>
        <v>4752</v>
      </c>
    </row>
    <row r="237">
      <c r="A237" s="41" t="n">
        <v>46281</v>
      </c>
      <c r="B237" s="42" t="inlineStr">
        <is>
          <t>Сольберг Мира</t>
        </is>
      </c>
      <c r="C237" s="42" t="inlineStr">
        <is>
          <t>Мобильное приложение для цеха</t>
        </is>
      </c>
      <c r="D237" s="42" t="inlineStr">
        <is>
          <t>Push-уведомления</t>
        </is>
      </c>
      <c r="E237" s="43" t="n">
        <v>1.21</v>
      </c>
      <c r="F237" s="42" t="inlineStr">
        <is>
          <t>Да</t>
        </is>
      </c>
      <c r="G237" s="44">
        <f>IF(billInc&gt;0,ROUNDUP(tblLog[[#This Row],[Часы]]/billInc,0)*billInc,tblLog[[#This Row],[Часы]])</f>
        <v>1.25</v>
      </c>
      <c r="H237" s="45">
        <f>IFERROR(INDEX(tblRates[СтавкаКлиенту],MATCH(tblLog[[#This Row],[Сотрудник]],tblRates[Сотрудник],0)),0)</f>
        <v>3500</v>
      </c>
      <c r="I237" s="45">
        <f>IF(tblLog[[#This Row],[Оплачиваемо]]=yesFlag,ROUND(tblLog[[#This Row],[ЧасыКОплате]]*tblLog[[#This Row],[Ставка]],2),0)</f>
        <v>4375</v>
      </c>
      <c r="J237" s="45">
        <f>IFERROR(INDEX(tblRates[СтавкаСотруднику],MATCH(tblLog[[#This Row],[Сотрудник]],tblRates[Сотрудник],0)),0)</f>
        <v>2400</v>
      </c>
      <c r="K237" s="45">
        <f>ROUND(tblLog[[#This Row],[Часы]]*tblLog[[#This Row],[СтавкаЗП]],2)</f>
        <v>2904</v>
      </c>
    </row>
    <row r="238">
      <c r="A238" s="41" t="n">
        <v>46281</v>
      </c>
      <c r="B238" s="42" t="inlineStr">
        <is>
          <t>Сольберг Мира</t>
        </is>
      </c>
      <c r="C238" s="42" t="inlineStr">
        <is>
          <t>Мобильное приложение для цеха</t>
        </is>
      </c>
      <c r="D238" s="42" t="inlineStr">
        <is>
          <t>Офлайн-синхронизация</t>
        </is>
      </c>
      <c r="E238" s="43" t="n">
        <v>0.6</v>
      </c>
      <c r="F238" s="42" t="inlineStr">
        <is>
          <t>Да</t>
        </is>
      </c>
      <c r="G238" s="44">
        <f>IF(billInc&gt;0,ROUNDUP(tblLog[[#This Row],[Часы]]/billInc,0)*billInc,tblLog[[#This Row],[Часы]])</f>
        <v>0.75</v>
      </c>
      <c r="H238" s="45">
        <f>IFERROR(INDEX(tblRates[СтавкаКлиенту],MATCH(tblLog[[#This Row],[Сотрудник]],tblRates[Сотрудник],0)),0)</f>
        <v>3500</v>
      </c>
      <c r="I238" s="45">
        <f>IF(tblLog[[#This Row],[Оплачиваемо]]=yesFlag,ROUND(tblLog[[#This Row],[ЧасыКОплате]]*tblLog[[#This Row],[Ставка]],2),0)</f>
        <v>2625</v>
      </c>
      <c r="J238" s="45">
        <f>IFERROR(INDEX(tblRates[СтавкаСотруднику],MATCH(tblLog[[#This Row],[Сотрудник]],tblRates[Сотрудник],0)),0)</f>
        <v>2400</v>
      </c>
      <c r="K238" s="45">
        <f>ROUND(tblLog[[#This Row],[Часы]]*tblLog[[#This Row],[СтавкаЗП]],2)</f>
        <v>1440</v>
      </c>
    </row>
    <row r="239">
      <c r="A239" s="41" t="n">
        <v>46282</v>
      </c>
      <c r="B239" s="42" t="inlineStr">
        <is>
          <t>Бреннер Лука</t>
        </is>
      </c>
      <c r="C239" s="42" t="inlineStr">
        <is>
          <t>Мобильное приложение для цеха</t>
        </is>
      </c>
      <c r="D239" s="42" t="inlineStr">
        <is>
          <t>Push-уведомления</t>
        </is>
      </c>
      <c r="E239" s="43" t="n">
        <v>2.72</v>
      </c>
      <c r="F239" s="42" t="inlineStr">
        <is>
          <t>Да</t>
        </is>
      </c>
      <c r="G239" s="44">
        <f>IF(billInc&gt;0,ROUNDUP(tblLog[[#This Row],[Часы]]/billInc,0)*billInc,tblLog[[#This Row],[Часы]])</f>
        <v>2.75</v>
      </c>
      <c r="H239" s="45">
        <f>IFERROR(INDEX(tblRates[СтавкаКлиенту],MATCH(tblLog[[#This Row],[Сотрудник]],tblRates[Сотрудник],0)),0)</f>
        <v>2300</v>
      </c>
      <c r="I239" s="45">
        <f>IF(tblLog[[#This Row],[Оплачиваемо]]=yesFlag,ROUND(tblLog[[#This Row],[ЧасыКОплате]]*tblLog[[#This Row],[Ставка]],2),0)</f>
        <v>6325</v>
      </c>
      <c r="J239" s="45">
        <f>IFERROR(INDEX(tblRates[СтавкаСотруднику],MATCH(tblLog[[#This Row],[Сотрудник]],tblRates[Сотрудник],0)),0)</f>
        <v>1500</v>
      </c>
      <c r="K239" s="45">
        <f>ROUND(tblLog[[#This Row],[Часы]]*tblLog[[#This Row],[СтавкаЗП]],2)</f>
        <v>4080</v>
      </c>
    </row>
    <row r="240">
      <c r="A240" s="41" t="n">
        <v>46282</v>
      </c>
      <c r="B240" s="42" t="inlineStr">
        <is>
          <t>Бреннер Лука</t>
        </is>
      </c>
      <c r="C240" s="42" t="inlineStr">
        <is>
          <t>Клиентский портал</t>
        </is>
      </c>
      <c r="D240" s="42" t="inlineStr">
        <is>
          <t>Выгрузка отчётов</t>
        </is>
      </c>
      <c r="E240" s="43" t="n">
        <v>1.67</v>
      </c>
      <c r="F240" s="42" t="inlineStr">
        <is>
          <t>Да</t>
        </is>
      </c>
      <c r="G240" s="44">
        <f>IF(billInc&gt;0,ROUNDUP(tblLog[[#This Row],[Часы]]/billInc,0)*billInc,tblLog[[#This Row],[Часы]])</f>
        <v>1.75</v>
      </c>
      <c r="H240" s="45">
        <f>IFERROR(INDEX(tblRates[СтавкаКлиенту],MATCH(tblLog[[#This Row],[Сотрудник]],tblRates[Сотрудник],0)),0)</f>
        <v>2300</v>
      </c>
      <c r="I240" s="45">
        <f>IF(tblLog[[#This Row],[Оплачиваемо]]=yesFlag,ROUND(tblLog[[#This Row],[ЧасыКОплате]]*tblLog[[#This Row],[Ставка]],2),0)</f>
        <v>4025</v>
      </c>
      <c r="J240" s="45">
        <f>IFERROR(INDEX(tblRates[СтавкаСотруднику],MATCH(tblLog[[#This Row],[Сотрудник]],tblRates[Сотрудник],0)),0)</f>
        <v>1500</v>
      </c>
      <c r="K240" s="45">
        <f>ROUND(tblLog[[#This Row],[Часы]]*tblLog[[#This Row],[СтавкаЗП]],2)</f>
        <v>2505</v>
      </c>
    </row>
    <row r="241">
      <c r="A241" s="41" t="n">
        <v>46282</v>
      </c>
      <c r="B241" s="42" t="inlineStr">
        <is>
          <t>Бреннер Лука</t>
        </is>
      </c>
      <c r="C241" s="42" t="inlineStr">
        <is>
          <t>Клиентский портал</t>
        </is>
      </c>
      <c r="D241" s="42" t="inlineStr">
        <is>
          <t>Выгрузка отчётов</t>
        </is>
      </c>
      <c r="E241" s="43" t="n">
        <v>1.57</v>
      </c>
      <c r="F241" s="42" t="inlineStr">
        <is>
          <t>Да</t>
        </is>
      </c>
      <c r="G241" s="44">
        <f>IF(billInc&gt;0,ROUNDUP(tblLog[[#This Row],[Часы]]/billInc,0)*billInc,tblLog[[#This Row],[Часы]])</f>
        <v>1.75</v>
      </c>
      <c r="H241" s="45">
        <f>IFERROR(INDEX(tblRates[СтавкаКлиенту],MATCH(tblLog[[#This Row],[Сотрудник]],tblRates[Сотрудник],0)),0)</f>
        <v>2300</v>
      </c>
      <c r="I241" s="45">
        <f>IF(tblLog[[#This Row],[Оплачиваемо]]=yesFlag,ROUND(tblLog[[#This Row],[ЧасыКОплате]]*tblLog[[#This Row],[Ставка]],2),0)</f>
        <v>4025</v>
      </c>
      <c r="J241" s="45">
        <f>IFERROR(INDEX(tblRates[СтавкаСотруднику],MATCH(tblLog[[#This Row],[Сотрудник]],tblRates[Сотрудник],0)),0)</f>
        <v>1500</v>
      </c>
      <c r="K241" s="45">
        <f>ROUND(tblLog[[#This Row],[Часы]]*tblLog[[#This Row],[СтавкаЗП]],2)</f>
        <v>2355</v>
      </c>
    </row>
    <row r="242">
      <c r="A242" s="41" t="n">
        <v>46282</v>
      </c>
      <c r="B242" s="42" t="inlineStr">
        <is>
          <t>Бреннер Лука</t>
        </is>
      </c>
      <c r="C242" s="42" t="inlineStr">
        <is>
          <t>Клиентский портал</t>
        </is>
      </c>
      <c r="D242" s="42" t="inlineStr">
        <is>
          <t>Выгрузка отчётов</t>
        </is>
      </c>
      <c r="E242" s="43" t="n">
        <v>0.8</v>
      </c>
      <c r="F242" s="42" t="inlineStr">
        <is>
          <t>Да</t>
        </is>
      </c>
      <c r="G242" s="44">
        <f>IF(billInc&gt;0,ROUNDUP(tblLog[[#This Row],[Часы]]/billInc,0)*billInc,tblLog[[#This Row],[Часы]])</f>
        <v>1</v>
      </c>
      <c r="H242" s="45">
        <f>IFERROR(INDEX(tblRates[СтавкаКлиенту],MATCH(tblLog[[#This Row],[Сотрудник]],tblRates[Сотрудник],0)),0)</f>
        <v>2300</v>
      </c>
      <c r="I242" s="45">
        <f>IF(tblLog[[#This Row],[Оплачиваемо]]=yesFlag,ROUND(tblLog[[#This Row],[ЧасыКОплате]]*tblLog[[#This Row],[Ставка]],2),0)</f>
        <v>2300</v>
      </c>
      <c r="J242" s="45">
        <f>IFERROR(INDEX(tblRates[СтавкаСотруднику],MATCH(tblLog[[#This Row],[Сотрудник]],tblRates[Сотрудник],0)),0)</f>
        <v>1500</v>
      </c>
      <c r="K242" s="45">
        <f>ROUND(tblLog[[#This Row],[Часы]]*tblLog[[#This Row],[СтавкаЗП]],2)</f>
        <v>1200</v>
      </c>
    </row>
    <row r="243">
      <c r="A243" s="41" t="n">
        <v>46282</v>
      </c>
      <c r="B243" s="42" t="inlineStr">
        <is>
          <t>Бреннер Лука</t>
        </is>
      </c>
      <c r="C243" s="42" t="inlineStr">
        <is>
          <t>Мобильное приложение для цеха</t>
        </is>
      </c>
      <c r="D243" s="42" t="inlineStr">
        <is>
          <t>Офлайн-синхронизация</t>
        </is>
      </c>
      <c r="E243" s="43" t="n">
        <v>0.93</v>
      </c>
      <c r="F243" s="42" t="inlineStr">
        <is>
          <t>Да</t>
        </is>
      </c>
      <c r="G243" s="44">
        <f>IF(billInc&gt;0,ROUNDUP(tblLog[[#This Row],[Часы]]/billInc,0)*billInc,tblLog[[#This Row],[Часы]])</f>
        <v>1</v>
      </c>
      <c r="H243" s="45">
        <f>IFERROR(INDEX(tblRates[СтавкаКлиенту],MATCH(tblLog[[#This Row],[Сотрудник]],tblRates[Сотрудник],0)),0)</f>
        <v>2300</v>
      </c>
      <c r="I243" s="45">
        <f>IF(tblLog[[#This Row],[Оплачиваемо]]=yesFlag,ROUND(tblLog[[#This Row],[ЧасыКОплате]]*tblLog[[#This Row],[Ставка]],2),0)</f>
        <v>2300</v>
      </c>
      <c r="J243" s="45">
        <f>IFERROR(INDEX(tblRates[СтавкаСотруднику],MATCH(tblLog[[#This Row],[Сотрудник]],tblRates[Сотрудник],0)),0)</f>
        <v>1500</v>
      </c>
      <c r="K243" s="45">
        <f>ROUND(tblLog[[#This Row],[Часы]]*tblLog[[#This Row],[СтавкаЗП]],2)</f>
        <v>1395</v>
      </c>
    </row>
    <row r="244">
      <c r="A244" s="41" t="n">
        <v>46282</v>
      </c>
      <c r="B244" s="42" t="inlineStr">
        <is>
          <t>Бреннер Лука</t>
        </is>
      </c>
      <c r="C244" s="42" t="inlineStr">
        <is>
          <t>Мобильное приложение для цеха</t>
        </is>
      </c>
      <c r="D244" s="42" t="inlineStr">
        <is>
          <t>Push-уведомления</t>
        </is>
      </c>
      <c r="E244" s="43" t="n">
        <v>0.8100000000000001</v>
      </c>
      <c r="F244" s="42" t="inlineStr">
        <is>
          <t>Да</t>
        </is>
      </c>
      <c r="G244" s="44">
        <f>IF(billInc&gt;0,ROUNDUP(tblLog[[#This Row],[Часы]]/billInc,0)*billInc,tblLog[[#This Row],[Часы]])</f>
        <v>1</v>
      </c>
      <c r="H244" s="45">
        <f>IFERROR(INDEX(tblRates[СтавкаКлиенту],MATCH(tblLog[[#This Row],[Сотрудник]],tblRates[Сотрудник],0)),0)</f>
        <v>2300</v>
      </c>
      <c r="I244" s="45">
        <f>IF(tblLog[[#This Row],[Оплачиваемо]]=yesFlag,ROUND(tblLog[[#This Row],[ЧасыКОплате]]*tblLog[[#This Row],[Ставка]],2),0)</f>
        <v>2300</v>
      </c>
      <c r="J244" s="45">
        <f>IFERROR(INDEX(tblRates[СтавкаСотруднику],MATCH(tblLog[[#This Row],[Сотрудник]],tblRates[Сотрудник],0)),0)</f>
        <v>1500</v>
      </c>
      <c r="K244" s="45">
        <f>ROUND(tblLog[[#This Row],[Часы]]*tblLog[[#This Row],[СтавкаЗП]],2)</f>
        <v>1215</v>
      </c>
    </row>
    <row r="245">
      <c r="A245" s="41" t="n">
        <v>46282</v>
      </c>
      <c r="B245" s="42" t="inlineStr">
        <is>
          <t>Варга Тео</t>
        </is>
      </c>
      <c r="C245" s="42" t="inlineStr">
        <is>
          <t>Мобильное приложение для цеха</t>
        </is>
      </c>
      <c r="D245" s="42" t="inlineStr">
        <is>
          <t>Офлайн-синхронизация</t>
        </is>
      </c>
      <c r="E245" s="43" t="n">
        <v>3.87</v>
      </c>
      <c r="F245" s="42" t="inlineStr">
        <is>
          <t>Да</t>
        </is>
      </c>
      <c r="G245" s="44">
        <f>IF(billInc&gt;0,ROUNDUP(tblLog[[#This Row],[Часы]]/billInc,0)*billInc,tblLog[[#This Row],[Часы]])</f>
        <v>4</v>
      </c>
      <c r="H245" s="45">
        <f>IFERROR(INDEX(tblRates[СтавкаКлиенту],MATCH(tblLog[[#This Row],[Сотрудник]],tblRates[Сотрудник],0)),0)</f>
        <v>2600</v>
      </c>
      <c r="I245" s="45">
        <f>IF(tblLog[[#This Row],[Оплачиваемо]]=yesFlag,ROUND(tblLog[[#This Row],[ЧасыКОплате]]*tblLog[[#This Row],[Ставка]],2),0)</f>
        <v>10400</v>
      </c>
      <c r="J245" s="45">
        <f>IFERROR(INDEX(tblRates[СтавкаСотруднику],MATCH(tblLog[[#This Row],[Сотрудник]],tblRates[Сотрудник],0)),0)</f>
        <v>1700</v>
      </c>
      <c r="K245" s="45">
        <f>ROUND(tblLog[[#This Row],[Часы]]*tblLog[[#This Row],[СтавкаЗП]],2)</f>
        <v>6579</v>
      </c>
    </row>
    <row r="246">
      <c r="A246" s="41" t="n">
        <v>46282</v>
      </c>
      <c r="B246" s="42" t="inlineStr">
        <is>
          <t>Варга Тео</t>
        </is>
      </c>
      <c r="C246" s="42" t="inlineStr">
        <is>
          <t>Клиентский портал</t>
        </is>
      </c>
      <c r="D246" s="42" t="inlineStr">
        <is>
          <t>Страница статуса заказа</t>
        </is>
      </c>
      <c r="E246" s="43" t="n">
        <v>1.5</v>
      </c>
      <c r="F246" s="42" t="inlineStr">
        <is>
          <t>Да</t>
        </is>
      </c>
      <c r="G246" s="44">
        <f>IF(billInc&gt;0,ROUNDUP(tblLog[[#This Row],[Часы]]/billInc,0)*billInc,tblLog[[#This Row],[Часы]])</f>
        <v>1.5</v>
      </c>
      <c r="H246" s="45">
        <f>IFERROR(INDEX(tblRates[СтавкаКлиенту],MATCH(tblLog[[#This Row],[Сотрудник]],tblRates[Сотрудник],0)),0)</f>
        <v>2600</v>
      </c>
      <c r="I246" s="45">
        <f>IF(tblLog[[#This Row],[Оплачиваемо]]=yesFlag,ROUND(tblLog[[#This Row],[ЧасыКОплате]]*tblLog[[#This Row],[Ставка]],2),0)</f>
        <v>3900</v>
      </c>
      <c r="J246" s="45">
        <f>IFERROR(INDEX(tblRates[СтавкаСотруднику],MATCH(tblLog[[#This Row],[Сотрудник]],tblRates[Сотрудник],0)),0)</f>
        <v>1700</v>
      </c>
      <c r="K246" s="45">
        <f>ROUND(tblLog[[#This Row],[Часы]]*tblLog[[#This Row],[СтавкаЗП]],2)</f>
        <v>2550</v>
      </c>
    </row>
    <row r="247">
      <c r="A247" s="41" t="n">
        <v>46282</v>
      </c>
      <c r="B247" s="42" t="inlineStr">
        <is>
          <t>Варга Тео</t>
        </is>
      </c>
      <c r="C247" s="42" t="inlineStr">
        <is>
          <t>Клиентский портал</t>
        </is>
      </c>
      <c r="D247" s="42" t="inlineStr">
        <is>
          <t>Выгрузка отчётов</t>
        </is>
      </c>
      <c r="E247" s="43" t="n">
        <v>1.36</v>
      </c>
      <c r="F247" s="42" t="inlineStr">
        <is>
          <t>Да</t>
        </is>
      </c>
      <c r="G247" s="44">
        <f>IF(billInc&gt;0,ROUNDUP(tblLog[[#This Row],[Часы]]/billInc,0)*billInc,tblLog[[#This Row],[Часы]])</f>
        <v>1.5</v>
      </c>
      <c r="H247" s="45">
        <f>IFERROR(INDEX(tblRates[СтавкаКлиенту],MATCH(tblLog[[#This Row],[Сотрудник]],tblRates[Сотрудник],0)),0)</f>
        <v>2600</v>
      </c>
      <c r="I247" s="45">
        <f>IF(tblLog[[#This Row],[Оплачиваемо]]=yesFlag,ROUND(tblLog[[#This Row],[ЧасыКОплате]]*tblLog[[#This Row],[Ставка]],2),0)</f>
        <v>3900</v>
      </c>
      <c r="J247" s="45">
        <f>IFERROR(INDEX(tblRates[СтавкаСотруднику],MATCH(tblLog[[#This Row],[Сотрудник]],tblRates[Сотрудник],0)),0)</f>
        <v>1700</v>
      </c>
      <c r="K247" s="45">
        <f>ROUND(tblLog[[#This Row],[Часы]]*tblLog[[#This Row],[СтавкаЗП]],2)</f>
        <v>2312</v>
      </c>
    </row>
    <row r="248">
      <c r="A248" s="41" t="n">
        <v>46282</v>
      </c>
      <c r="B248" s="42" t="inlineStr">
        <is>
          <t>Варга Тео</t>
        </is>
      </c>
      <c r="C248" s="42" t="inlineStr">
        <is>
          <t>Мобильное приложение для цеха</t>
        </is>
      </c>
      <c r="D248" s="42" t="inlineStr">
        <is>
          <t>Сканирование штрихкодов</t>
        </is>
      </c>
      <c r="E248" s="43" t="n">
        <v>0.71</v>
      </c>
      <c r="F248" s="42" t="inlineStr">
        <is>
          <t>Да</t>
        </is>
      </c>
      <c r="G248" s="44">
        <f>IF(billInc&gt;0,ROUNDUP(tblLog[[#This Row],[Часы]]/billInc,0)*billInc,tblLog[[#This Row],[Часы]])</f>
        <v>0.75</v>
      </c>
      <c r="H248" s="45">
        <f>IFERROR(INDEX(tblRates[СтавкаКлиенту],MATCH(tblLog[[#This Row],[Сотрудник]],tblRates[Сотрудник],0)),0)</f>
        <v>2600</v>
      </c>
      <c r="I248" s="45">
        <f>IF(tblLog[[#This Row],[Оплачиваемо]]=yesFlag,ROUND(tblLog[[#This Row],[ЧасыКОплате]]*tblLog[[#This Row],[Ставка]],2),0)</f>
        <v>1950</v>
      </c>
      <c r="J248" s="45">
        <f>IFERROR(INDEX(tblRates[СтавкаСотруднику],MATCH(tblLog[[#This Row],[Сотрудник]],tblRates[Сотрудник],0)),0)</f>
        <v>1700</v>
      </c>
      <c r="K248" s="45">
        <f>ROUND(tblLog[[#This Row],[Часы]]*tblLog[[#This Row],[СтавкаЗП]],2)</f>
        <v>1207</v>
      </c>
    </row>
    <row r="249">
      <c r="A249" s="41" t="n">
        <v>46282</v>
      </c>
      <c r="B249" s="42" t="inlineStr">
        <is>
          <t>Варга Тео</t>
        </is>
      </c>
      <c r="C249" s="42" t="inlineStr">
        <is>
          <t>Поддержка</t>
        </is>
      </c>
      <c r="D249" s="42" t="inlineStr">
        <is>
          <t>Созвон с клиентом</t>
        </is>
      </c>
      <c r="E249" s="43" t="n">
        <v>0.43</v>
      </c>
      <c r="F249" s="42" t="inlineStr">
        <is>
          <t>Да</t>
        </is>
      </c>
      <c r="G249" s="44">
        <f>IF(billInc&gt;0,ROUNDUP(tblLog[[#This Row],[Часы]]/billInc,0)*billInc,tblLog[[#This Row],[Часы]])</f>
        <v>0.5</v>
      </c>
      <c r="H249" s="45">
        <f>IFERROR(INDEX(tblRates[СтавкаКлиенту],MATCH(tblLog[[#This Row],[Сотрудник]],tblRates[Сотрудник],0)),0)</f>
        <v>2600</v>
      </c>
      <c r="I249" s="45">
        <f>IF(tblLog[[#This Row],[Оплачиваемо]]=yesFlag,ROUND(tblLog[[#This Row],[ЧасыКОплате]]*tblLog[[#This Row],[Ставка]],2),0)</f>
        <v>1300</v>
      </c>
      <c r="J249" s="45">
        <f>IFERROR(INDEX(tblRates[СтавкаСотруднику],MATCH(tblLog[[#This Row],[Сотрудник]],tblRates[Сотрудник],0)),0)</f>
        <v>1700</v>
      </c>
      <c r="K249" s="45">
        <f>ROUND(tblLog[[#This Row],[Часы]]*tblLog[[#This Row],[СтавкаЗП]],2)</f>
        <v>731</v>
      </c>
    </row>
    <row r="250">
      <c r="A250" s="41" t="n">
        <v>46282</v>
      </c>
      <c r="B250" s="42" t="inlineStr">
        <is>
          <t>Окафор Инес</t>
        </is>
      </c>
      <c r="C250" s="42" t="inlineStr">
        <is>
          <t>Клиентский портал</t>
        </is>
      </c>
      <c r="D250" s="42" t="inlineStr">
        <is>
          <t>Код-ревью</t>
        </is>
      </c>
      <c r="E250" s="43" t="n">
        <v>2.34</v>
      </c>
      <c r="F250" s="42" t="inlineStr">
        <is>
          <t>Да</t>
        </is>
      </c>
      <c r="G250" s="44">
        <f>IF(billInc&gt;0,ROUNDUP(tblLog[[#This Row],[Часы]]/billInc,0)*billInc,tblLog[[#This Row],[Часы]])</f>
        <v>2.5</v>
      </c>
      <c r="H250" s="45">
        <f>IFERROR(INDEX(tblRates[СтавкаКлиенту],MATCH(tblLog[[#This Row],[Сотрудник]],tblRates[Сотрудник],0)),0)</f>
        <v>1900</v>
      </c>
      <c r="I250" s="45">
        <f>IF(tblLog[[#This Row],[Оплачиваемо]]=yesFlag,ROUND(tblLog[[#This Row],[ЧасыКОплате]]*tblLog[[#This Row],[Ставка]],2),0)</f>
        <v>4750</v>
      </c>
      <c r="J250" s="45">
        <f>IFERROR(INDEX(tblRates[СтавкаСотруднику],MATCH(tblLog[[#This Row],[Сотрудник]],tblRates[Сотрудник],0)),0)</f>
        <v>1200</v>
      </c>
      <c r="K250" s="45">
        <f>ROUND(tblLog[[#This Row],[Часы]]*tblLog[[#This Row],[СтавкаЗП]],2)</f>
        <v>2808</v>
      </c>
    </row>
    <row r="251">
      <c r="A251" s="41" t="n">
        <v>46282</v>
      </c>
      <c r="B251" s="42" t="inlineStr">
        <is>
          <t>Окафор Инес</t>
        </is>
      </c>
      <c r="C251" s="42" t="inlineStr">
        <is>
          <t>Мобильное приложение для цеха</t>
        </is>
      </c>
      <c r="D251" s="42" t="inlineStr">
        <is>
          <t>Сканирование штрихкодов</t>
        </is>
      </c>
      <c r="E251" s="43" t="n">
        <v>3.94</v>
      </c>
      <c r="F251" s="42" t="inlineStr">
        <is>
          <t>Да</t>
        </is>
      </c>
      <c r="G251" s="44">
        <f>IF(billInc&gt;0,ROUNDUP(tblLog[[#This Row],[Часы]]/billInc,0)*billInc,tblLog[[#This Row],[Часы]])</f>
        <v>4</v>
      </c>
      <c r="H251" s="45">
        <f>IFERROR(INDEX(tblRates[СтавкаКлиенту],MATCH(tblLog[[#This Row],[Сотрудник]],tblRates[Сотрудник],0)),0)</f>
        <v>1900</v>
      </c>
      <c r="I251" s="45">
        <f>IF(tblLog[[#This Row],[Оплачиваемо]]=yesFlag,ROUND(tblLog[[#This Row],[ЧасыКОплате]]*tblLog[[#This Row],[Ставка]],2),0)</f>
        <v>7600</v>
      </c>
      <c r="J251" s="45">
        <f>IFERROR(INDEX(tblRates[СтавкаСотруднику],MATCH(tblLog[[#This Row],[Сотрудник]],tblRates[Сотрудник],0)),0)</f>
        <v>1200</v>
      </c>
      <c r="K251" s="45">
        <f>ROUND(tblLog[[#This Row],[Часы]]*tblLog[[#This Row],[СтавкаЗП]],2)</f>
        <v>4728</v>
      </c>
    </row>
    <row r="252">
      <c r="A252" s="41" t="n">
        <v>46282</v>
      </c>
      <c r="B252" s="42" t="inlineStr">
        <is>
          <t>Окафор Инес</t>
        </is>
      </c>
      <c r="C252" s="42" t="inlineStr">
        <is>
          <t>Поддержка</t>
        </is>
      </c>
      <c r="D252" s="42" t="inlineStr">
        <is>
          <t>Обновление сервера</t>
        </is>
      </c>
      <c r="E252" s="43" t="n">
        <v>0.66</v>
      </c>
      <c r="F252" s="42" t="inlineStr">
        <is>
          <t>Да</t>
        </is>
      </c>
      <c r="G252" s="44">
        <f>IF(billInc&gt;0,ROUNDUP(tblLog[[#This Row],[Часы]]/billInc,0)*billInc,tblLog[[#This Row],[Часы]])</f>
        <v>0.75</v>
      </c>
      <c r="H252" s="45">
        <f>IFERROR(INDEX(tblRates[СтавкаКлиенту],MATCH(tblLog[[#This Row],[Сотрудник]],tblRates[Сотрудник],0)),0)</f>
        <v>1900</v>
      </c>
      <c r="I252" s="45">
        <f>IF(tblLog[[#This Row],[Оплачиваемо]]=yesFlag,ROUND(tblLog[[#This Row],[ЧасыКОплате]]*tblLog[[#This Row],[Ставка]],2),0)</f>
        <v>1425</v>
      </c>
      <c r="J252" s="45">
        <f>IFERROR(INDEX(tblRates[СтавкаСотруднику],MATCH(tblLog[[#This Row],[Сотрудник]],tblRates[Сотрудник],0)),0)</f>
        <v>1200</v>
      </c>
      <c r="K252" s="45">
        <f>ROUND(tblLog[[#This Row],[Часы]]*tblLog[[#This Row],[СтавкаЗП]],2)</f>
        <v>792</v>
      </c>
    </row>
    <row r="253">
      <c r="A253" s="41" t="n">
        <v>46282</v>
      </c>
      <c r="B253" s="42" t="inlineStr">
        <is>
          <t>Окафор Инес</t>
        </is>
      </c>
      <c r="C253" s="42" t="inlineStr">
        <is>
          <t>Клиентский портал</t>
        </is>
      </c>
      <c r="D253" s="42" t="inlineStr">
        <is>
          <t>Выгрузка отчётов</t>
        </is>
      </c>
      <c r="E253" s="43" t="n">
        <v>1.06</v>
      </c>
      <c r="F253" s="42" t="inlineStr">
        <is>
          <t>Да</t>
        </is>
      </c>
      <c r="G253" s="44">
        <f>IF(billInc&gt;0,ROUNDUP(tblLog[[#This Row],[Часы]]/billInc,0)*billInc,tblLog[[#This Row],[Часы]])</f>
        <v>1.25</v>
      </c>
      <c r="H253" s="45">
        <f>IFERROR(INDEX(tblRates[СтавкаКлиенту],MATCH(tblLog[[#This Row],[Сотрудник]],tblRates[Сотрудник],0)),0)</f>
        <v>1900</v>
      </c>
      <c r="I253" s="45">
        <f>IF(tblLog[[#This Row],[Оплачиваемо]]=yesFlag,ROUND(tblLog[[#This Row],[ЧасыКОплате]]*tblLog[[#This Row],[Ставка]],2),0)</f>
        <v>2375</v>
      </c>
      <c r="J253" s="45">
        <f>IFERROR(INDEX(tblRates[СтавкаСотруднику],MATCH(tblLog[[#This Row],[Сотрудник]],tblRates[Сотрудник],0)),0)</f>
        <v>1200</v>
      </c>
      <c r="K253" s="45">
        <f>ROUND(tblLog[[#This Row],[Часы]]*tblLog[[#This Row],[СтавкаЗП]],2)</f>
        <v>1272</v>
      </c>
    </row>
    <row r="254">
      <c r="A254" s="41" t="n">
        <v>46282</v>
      </c>
      <c r="B254" s="42" t="inlineStr">
        <is>
          <t>Сольберг Мира</t>
        </is>
      </c>
      <c r="C254" s="42" t="inlineStr">
        <is>
          <t>Поддержка</t>
        </is>
      </c>
      <c r="D254" s="42" t="inlineStr">
        <is>
          <t>Исправление ошибок</t>
        </is>
      </c>
      <c r="E254" s="43" t="n">
        <v>2.98</v>
      </c>
      <c r="F254" s="42" t="inlineStr">
        <is>
          <t>Да</t>
        </is>
      </c>
      <c r="G254" s="44">
        <f>IF(billInc&gt;0,ROUNDUP(tblLog[[#This Row],[Часы]]/billInc,0)*billInc,tblLog[[#This Row],[Часы]])</f>
        <v>3</v>
      </c>
      <c r="H254" s="45">
        <f>IFERROR(INDEX(tblRates[СтавкаКлиенту],MATCH(tblLog[[#This Row],[Сотрудник]],tblRates[Сотрудник],0)),0)</f>
        <v>3500</v>
      </c>
      <c r="I254" s="45">
        <f>IF(tblLog[[#This Row],[Оплачиваемо]]=yesFlag,ROUND(tblLog[[#This Row],[ЧасыКОплате]]*tblLog[[#This Row],[Ставка]],2),0)</f>
        <v>10500</v>
      </c>
      <c r="J254" s="45">
        <f>IFERROR(INDEX(tblRates[СтавкаСотруднику],MATCH(tblLog[[#This Row],[Сотрудник]],tblRates[Сотрудник],0)),0)</f>
        <v>2400</v>
      </c>
      <c r="K254" s="45">
        <f>ROUND(tblLog[[#This Row],[Часы]]*tblLog[[#This Row],[СтавкаЗП]],2)</f>
        <v>7152</v>
      </c>
    </row>
    <row r="255">
      <c r="A255" s="41" t="n">
        <v>46282</v>
      </c>
      <c r="B255" s="42" t="inlineStr">
        <is>
          <t>Сольберг Мира</t>
        </is>
      </c>
      <c r="C255" s="42" t="inlineStr">
        <is>
          <t>Клиентский портал</t>
        </is>
      </c>
      <c r="D255" s="42" t="inlineStr">
        <is>
          <t>Авторизация и роли</t>
        </is>
      </c>
      <c r="E255" s="43" t="n">
        <v>0.63</v>
      </c>
      <c r="F255" s="42" t="inlineStr">
        <is>
          <t>Да</t>
        </is>
      </c>
      <c r="G255" s="44">
        <f>IF(billInc&gt;0,ROUNDUP(tblLog[[#This Row],[Часы]]/billInc,0)*billInc,tblLog[[#This Row],[Часы]])</f>
        <v>0.75</v>
      </c>
      <c r="H255" s="45">
        <f>IFERROR(INDEX(tblRates[СтавкаКлиенту],MATCH(tblLog[[#This Row],[Сотрудник]],tblRates[Сотрудник],0)),0)</f>
        <v>3500</v>
      </c>
      <c r="I255" s="45">
        <f>IF(tblLog[[#This Row],[Оплачиваемо]]=yesFlag,ROUND(tblLog[[#This Row],[ЧасыКОплате]]*tblLog[[#This Row],[Ставка]],2),0)</f>
        <v>2625</v>
      </c>
      <c r="J255" s="45">
        <f>IFERROR(INDEX(tblRates[СтавкаСотруднику],MATCH(tblLog[[#This Row],[Сотрудник]],tblRates[Сотрудник],0)),0)</f>
        <v>2400</v>
      </c>
      <c r="K255" s="45">
        <f>ROUND(tblLog[[#This Row],[Часы]]*tblLog[[#This Row],[СтавкаЗП]],2)</f>
        <v>1512</v>
      </c>
    </row>
    <row r="256">
      <c r="A256" s="41" t="n">
        <v>46282</v>
      </c>
      <c r="B256" s="42" t="inlineStr">
        <is>
          <t>Сольберг Мира</t>
        </is>
      </c>
      <c r="C256" s="42" t="inlineStr">
        <is>
          <t>Клиентский портал</t>
        </is>
      </c>
      <c r="D256" s="42" t="inlineStr">
        <is>
          <t>Авторизация и роли</t>
        </is>
      </c>
      <c r="E256" s="43" t="n">
        <v>1.76</v>
      </c>
      <c r="F256" s="42" t="inlineStr">
        <is>
          <t>Да</t>
        </is>
      </c>
      <c r="G256" s="44">
        <f>IF(billInc&gt;0,ROUNDUP(tblLog[[#This Row],[Часы]]/billInc,0)*billInc,tblLog[[#This Row],[Часы]])</f>
        <v>2</v>
      </c>
      <c r="H256" s="45">
        <f>IFERROR(INDEX(tblRates[СтавкаКлиенту],MATCH(tblLog[[#This Row],[Сотрудник]],tblRates[Сотрудник],0)),0)</f>
        <v>3500</v>
      </c>
      <c r="I256" s="45">
        <f>IF(tblLog[[#This Row],[Оплачиваемо]]=yesFlag,ROUND(tblLog[[#This Row],[ЧасыКОплате]]*tblLog[[#This Row],[Ставка]],2),0)</f>
        <v>7000</v>
      </c>
      <c r="J256" s="45">
        <f>IFERROR(INDEX(tblRates[СтавкаСотруднику],MATCH(tblLog[[#This Row],[Сотрудник]],tblRates[Сотрудник],0)),0)</f>
        <v>2400</v>
      </c>
      <c r="K256" s="45">
        <f>ROUND(tblLog[[#This Row],[Часы]]*tblLog[[#This Row],[СтавкаЗП]],2)</f>
        <v>4224</v>
      </c>
    </row>
    <row r="257">
      <c r="A257" s="41" t="n">
        <v>46282</v>
      </c>
      <c r="B257" s="42" t="inlineStr">
        <is>
          <t>Сольберг Мира</t>
        </is>
      </c>
      <c r="C257" s="42" t="inlineStr">
        <is>
          <t>Мобильное приложение для цеха</t>
        </is>
      </c>
      <c r="D257" s="42" t="inlineStr">
        <is>
          <t>Сканирование штрихкодов</t>
        </is>
      </c>
      <c r="E257" s="43" t="n">
        <v>1.63</v>
      </c>
      <c r="F257" s="42" t="inlineStr">
        <is>
          <t>Да</t>
        </is>
      </c>
      <c r="G257" s="44">
        <f>IF(billInc&gt;0,ROUNDUP(tblLog[[#This Row],[Часы]]/billInc,0)*billInc,tblLog[[#This Row],[Часы]])</f>
        <v>1.75</v>
      </c>
      <c r="H257" s="45">
        <f>IFERROR(INDEX(tblRates[СтавкаКлиенту],MATCH(tblLog[[#This Row],[Сотрудник]],tblRates[Сотрудник],0)),0)</f>
        <v>3500</v>
      </c>
      <c r="I257" s="45">
        <f>IF(tblLog[[#This Row],[Оплачиваемо]]=yesFlag,ROUND(tblLog[[#This Row],[ЧасыКОплате]]*tblLog[[#This Row],[Ставка]],2),0)</f>
        <v>6125</v>
      </c>
      <c r="J257" s="45">
        <f>IFERROR(INDEX(tblRates[СтавкаСотруднику],MATCH(tblLog[[#This Row],[Сотрудник]],tblRates[Сотрудник],0)),0)</f>
        <v>2400</v>
      </c>
      <c r="K257" s="45">
        <f>ROUND(tblLog[[#This Row],[Часы]]*tblLog[[#This Row],[СтавкаЗП]],2)</f>
        <v>3912</v>
      </c>
    </row>
    <row r="258">
      <c r="A258" s="41" t="n">
        <v>46283</v>
      </c>
      <c r="B258" s="42" t="inlineStr">
        <is>
          <t>Бреннер Лука</t>
        </is>
      </c>
      <c r="C258" s="42" t="inlineStr">
        <is>
          <t>Мобильное приложение для цеха</t>
        </is>
      </c>
      <c r="D258" s="42" t="inlineStr">
        <is>
          <t>Офлайн-синхронизация</t>
        </is>
      </c>
      <c r="E258" s="43" t="n">
        <v>3.5</v>
      </c>
      <c r="F258" s="42" t="inlineStr">
        <is>
          <t>Да</t>
        </is>
      </c>
      <c r="G258" s="44">
        <f>IF(billInc&gt;0,ROUNDUP(tblLog[[#This Row],[Часы]]/billInc,0)*billInc,tblLog[[#This Row],[Часы]])</f>
        <v>3.5</v>
      </c>
      <c r="H258" s="45">
        <f>IFERROR(INDEX(tblRates[СтавкаКлиенту],MATCH(tblLog[[#This Row],[Сотрудник]],tblRates[Сотрудник],0)),0)</f>
        <v>2300</v>
      </c>
      <c r="I258" s="45">
        <f>IF(tblLog[[#This Row],[Оплачиваемо]]=yesFlag,ROUND(tblLog[[#This Row],[ЧасыКОплате]]*tblLog[[#This Row],[Ставка]],2),0)</f>
        <v>8050</v>
      </c>
      <c r="J258" s="45">
        <f>IFERROR(INDEX(tblRates[СтавкаСотруднику],MATCH(tblLog[[#This Row],[Сотрудник]],tblRates[Сотрудник],0)),0)</f>
        <v>1500</v>
      </c>
      <c r="K258" s="45">
        <f>ROUND(tblLog[[#This Row],[Часы]]*tblLog[[#This Row],[СтавкаЗП]],2)</f>
        <v>5250</v>
      </c>
    </row>
    <row r="259">
      <c r="A259" s="41" t="n">
        <v>46283</v>
      </c>
      <c r="B259" s="42" t="inlineStr">
        <is>
          <t>Бреннер Лука</t>
        </is>
      </c>
      <c r="C259" s="42" t="inlineStr">
        <is>
          <t>Клиентский портал</t>
        </is>
      </c>
      <c r="D259" s="42" t="inlineStr">
        <is>
          <t>Выгрузка отчётов</t>
        </is>
      </c>
      <c r="E259" s="43" t="n">
        <v>3.01</v>
      </c>
      <c r="F259" s="42" t="inlineStr">
        <is>
          <t>Да</t>
        </is>
      </c>
      <c r="G259" s="44">
        <f>IF(billInc&gt;0,ROUNDUP(tblLog[[#This Row],[Часы]]/billInc,0)*billInc,tblLog[[#This Row],[Часы]])</f>
        <v>3.25</v>
      </c>
      <c r="H259" s="45">
        <f>IFERROR(INDEX(tblRates[СтавкаКлиенту],MATCH(tblLog[[#This Row],[Сотрудник]],tblRates[Сотрудник],0)),0)</f>
        <v>2300</v>
      </c>
      <c r="I259" s="45">
        <f>IF(tblLog[[#This Row],[Оплачиваемо]]=yesFlag,ROUND(tblLog[[#This Row],[ЧасыКОплате]]*tblLog[[#This Row],[Ставка]],2),0)</f>
        <v>7475</v>
      </c>
      <c r="J259" s="45">
        <f>IFERROR(INDEX(tblRates[СтавкаСотруднику],MATCH(tblLog[[#This Row],[Сотрудник]],tblRates[Сотрудник],0)),0)</f>
        <v>1500</v>
      </c>
      <c r="K259" s="45">
        <f>ROUND(tblLog[[#This Row],[Часы]]*tblLog[[#This Row],[СтавкаЗП]],2)</f>
        <v>4515</v>
      </c>
    </row>
    <row r="260">
      <c r="A260" s="41" t="n">
        <v>46283</v>
      </c>
      <c r="B260" s="42" t="inlineStr">
        <is>
          <t>Бреннер Лука</t>
        </is>
      </c>
      <c r="C260" s="42" t="inlineStr">
        <is>
          <t>Мобильное приложение для цеха</t>
        </is>
      </c>
      <c r="D260" s="42" t="inlineStr">
        <is>
          <t>Офлайн-синхронизация</t>
        </is>
      </c>
      <c r="E260" s="43" t="n">
        <v>1.49</v>
      </c>
      <c r="F260" s="42" t="inlineStr">
        <is>
          <t>Да</t>
        </is>
      </c>
      <c r="G260" s="44">
        <f>IF(billInc&gt;0,ROUNDUP(tblLog[[#This Row],[Часы]]/billInc,0)*billInc,tblLog[[#This Row],[Часы]])</f>
        <v>1.5</v>
      </c>
      <c r="H260" s="45">
        <f>IFERROR(INDEX(tblRates[СтавкаКлиенту],MATCH(tblLog[[#This Row],[Сотрудник]],tblRates[Сотрудник],0)),0)</f>
        <v>2300</v>
      </c>
      <c r="I260" s="45">
        <f>IF(tblLog[[#This Row],[Оплачиваемо]]=yesFlag,ROUND(tblLog[[#This Row],[ЧасыКОплате]]*tblLog[[#This Row],[Ставка]],2),0)</f>
        <v>3450</v>
      </c>
      <c r="J260" s="45">
        <f>IFERROR(INDEX(tblRates[СтавкаСотруднику],MATCH(tblLog[[#This Row],[Сотрудник]],tblRates[Сотрудник],0)),0)</f>
        <v>1500</v>
      </c>
      <c r="K260" s="45">
        <f>ROUND(tblLog[[#This Row],[Часы]]*tblLog[[#This Row],[СтавкаЗП]],2)</f>
        <v>2235</v>
      </c>
    </row>
    <row r="261">
      <c r="A261" s="41" t="n">
        <v>46283</v>
      </c>
      <c r="B261" s="42" t="inlineStr">
        <is>
          <t>Варга Тео</t>
        </is>
      </c>
      <c r="C261" s="42" t="inlineStr">
        <is>
          <t>Клиентский портал</t>
        </is>
      </c>
      <c r="D261" s="42" t="inlineStr">
        <is>
          <t>Код-ревью</t>
        </is>
      </c>
      <c r="E261" s="43" t="n">
        <v>3.8</v>
      </c>
      <c r="F261" s="42" t="inlineStr">
        <is>
          <t>Да</t>
        </is>
      </c>
      <c r="G261" s="44">
        <f>IF(billInc&gt;0,ROUNDUP(tblLog[[#This Row],[Часы]]/billInc,0)*billInc,tblLog[[#This Row],[Часы]])</f>
        <v>4</v>
      </c>
      <c r="H261" s="45">
        <f>IFERROR(INDEX(tblRates[СтавкаКлиенту],MATCH(tblLog[[#This Row],[Сотрудник]],tblRates[Сотрудник],0)),0)</f>
        <v>2600</v>
      </c>
      <c r="I261" s="45">
        <f>IF(tblLog[[#This Row],[Оплачиваемо]]=yesFlag,ROUND(tblLog[[#This Row],[ЧасыКОплате]]*tblLog[[#This Row],[Ставка]],2),0)</f>
        <v>10400</v>
      </c>
      <c r="J261" s="45">
        <f>IFERROR(INDEX(tblRates[СтавкаСотруднику],MATCH(tblLog[[#This Row],[Сотрудник]],tblRates[Сотрудник],0)),0)</f>
        <v>1700</v>
      </c>
      <c r="K261" s="45">
        <f>ROUND(tblLog[[#This Row],[Часы]]*tblLog[[#This Row],[СтавкаЗП]],2)</f>
        <v>6460</v>
      </c>
    </row>
    <row r="262">
      <c r="A262" s="41" t="n">
        <v>46283</v>
      </c>
      <c r="B262" s="42" t="inlineStr">
        <is>
          <t>Варга Тео</t>
        </is>
      </c>
      <c r="C262" s="42" t="inlineStr">
        <is>
          <t>Клиентский портал</t>
        </is>
      </c>
      <c r="D262" s="42" t="inlineStr">
        <is>
          <t>Страница статуса заказа</t>
        </is>
      </c>
      <c r="E262" s="43" t="n">
        <v>1.91</v>
      </c>
      <c r="F262" s="42" t="inlineStr">
        <is>
          <t>Да</t>
        </is>
      </c>
      <c r="G262" s="44">
        <f>IF(billInc&gt;0,ROUNDUP(tblLog[[#This Row],[Часы]]/billInc,0)*billInc,tblLog[[#This Row],[Часы]])</f>
        <v>2</v>
      </c>
      <c r="H262" s="45">
        <f>IFERROR(INDEX(tblRates[СтавкаКлиенту],MATCH(tblLog[[#This Row],[Сотрудник]],tblRates[Сотрудник],0)),0)</f>
        <v>2600</v>
      </c>
      <c r="I262" s="45">
        <f>IF(tblLog[[#This Row],[Оплачиваемо]]=yesFlag,ROUND(tblLog[[#This Row],[ЧасыКОплате]]*tblLog[[#This Row],[Ставка]],2),0)</f>
        <v>5200</v>
      </c>
      <c r="J262" s="45">
        <f>IFERROR(INDEX(tblRates[СтавкаСотруднику],MATCH(tblLog[[#This Row],[Сотрудник]],tblRates[Сотрудник],0)),0)</f>
        <v>1700</v>
      </c>
      <c r="K262" s="45">
        <f>ROUND(tblLog[[#This Row],[Часы]]*tblLog[[#This Row],[СтавкаЗП]],2)</f>
        <v>3247</v>
      </c>
    </row>
    <row r="263">
      <c r="A263" s="41" t="n">
        <v>46283</v>
      </c>
      <c r="B263" s="42" t="inlineStr">
        <is>
          <t>Варга Тео</t>
        </is>
      </c>
      <c r="C263" s="42" t="inlineStr">
        <is>
          <t>Мобильное приложение для цеха</t>
        </is>
      </c>
      <c r="D263" s="42" t="inlineStr">
        <is>
          <t>Сканирование штрихкодов</t>
        </is>
      </c>
      <c r="E263" s="43" t="n">
        <v>0.6</v>
      </c>
      <c r="F263" s="42" t="inlineStr">
        <is>
          <t>Да</t>
        </is>
      </c>
      <c r="G263" s="44">
        <f>IF(billInc&gt;0,ROUNDUP(tblLog[[#This Row],[Часы]]/billInc,0)*billInc,tblLog[[#This Row],[Часы]])</f>
        <v>0.75</v>
      </c>
      <c r="H263" s="45">
        <f>IFERROR(INDEX(tblRates[СтавкаКлиенту],MATCH(tblLog[[#This Row],[Сотрудник]],tblRates[Сотрудник],0)),0)</f>
        <v>2600</v>
      </c>
      <c r="I263" s="45">
        <f>IF(tblLog[[#This Row],[Оплачиваемо]]=yesFlag,ROUND(tblLog[[#This Row],[ЧасыКОплате]]*tblLog[[#This Row],[Ставка]],2),0)</f>
        <v>1950</v>
      </c>
      <c r="J263" s="45">
        <f>IFERROR(INDEX(tblRates[СтавкаСотруднику],MATCH(tblLog[[#This Row],[Сотрудник]],tblRates[Сотрудник],0)),0)</f>
        <v>1700</v>
      </c>
      <c r="K263" s="45">
        <f>ROUND(tblLog[[#This Row],[Часы]]*tblLog[[#This Row],[СтавкаЗП]],2)</f>
        <v>1020</v>
      </c>
    </row>
    <row r="264">
      <c r="A264" s="41" t="n">
        <v>46283</v>
      </c>
      <c r="B264" s="42" t="inlineStr">
        <is>
          <t>Варга Тео</t>
        </is>
      </c>
      <c r="C264" s="42" t="inlineStr">
        <is>
          <t>Клиентский портал</t>
        </is>
      </c>
      <c r="D264" s="42" t="inlineStr">
        <is>
          <t>Код-ревью</t>
        </is>
      </c>
      <c r="E264" s="43" t="n">
        <v>1.69</v>
      </c>
      <c r="F264" s="42" t="inlineStr">
        <is>
          <t>Да</t>
        </is>
      </c>
      <c r="G264" s="44">
        <f>IF(billInc&gt;0,ROUNDUP(tblLog[[#This Row],[Часы]]/billInc,0)*billInc,tblLog[[#This Row],[Часы]])</f>
        <v>1.75</v>
      </c>
      <c r="H264" s="45">
        <f>IFERROR(INDEX(tblRates[СтавкаКлиенту],MATCH(tblLog[[#This Row],[Сотрудник]],tblRates[Сотрудник],0)),0)</f>
        <v>2600</v>
      </c>
      <c r="I264" s="45">
        <f>IF(tblLog[[#This Row],[Оплачиваемо]]=yesFlag,ROUND(tblLog[[#This Row],[ЧасыКОплате]]*tblLog[[#This Row],[Ставка]],2),0)</f>
        <v>4550</v>
      </c>
      <c r="J264" s="45">
        <f>IFERROR(INDEX(tblRates[СтавкаСотруднику],MATCH(tblLog[[#This Row],[Сотрудник]],tblRates[Сотрудник],0)),0)</f>
        <v>1700</v>
      </c>
      <c r="K264" s="45">
        <f>ROUND(tblLog[[#This Row],[Часы]]*tblLog[[#This Row],[СтавкаЗП]],2)</f>
        <v>2873</v>
      </c>
    </row>
    <row r="265">
      <c r="A265" s="41" t="n">
        <v>46283</v>
      </c>
      <c r="B265" s="42" t="inlineStr">
        <is>
          <t>Окафор Инес</t>
        </is>
      </c>
      <c r="C265" s="42" t="inlineStr">
        <is>
          <t>Мобильное приложение для цеха</t>
        </is>
      </c>
      <c r="D265" s="42" t="inlineStr">
        <is>
          <t>Push-уведомления</t>
        </is>
      </c>
      <c r="E265" s="43" t="n">
        <v>1.82</v>
      </c>
      <c r="F265" s="42" t="inlineStr">
        <is>
          <t>Да</t>
        </is>
      </c>
      <c r="G265" s="44">
        <f>IF(billInc&gt;0,ROUNDUP(tblLog[[#This Row],[Часы]]/billInc,0)*billInc,tblLog[[#This Row],[Часы]])</f>
        <v>2</v>
      </c>
      <c r="H265" s="45">
        <f>IFERROR(INDEX(tblRates[СтавкаКлиенту],MATCH(tblLog[[#This Row],[Сотрудник]],tblRates[Сотрудник],0)),0)</f>
        <v>1900</v>
      </c>
      <c r="I265" s="45">
        <f>IF(tblLog[[#This Row],[Оплачиваемо]]=yesFlag,ROUND(tblLog[[#This Row],[ЧасыКОплате]]*tblLog[[#This Row],[Ставка]],2),0)</f>
        <v>3800</v>
      </c>
      <c r="J265" s="45">
        <f>IFERROR(INDEX(tblRates[СтавкаСотруднику],MATCH(tblLog[[#This Row],[Сотрудник]],tblRates[Сотрудник],0)),0)</f>
        <v>1200</v>
      </c>
      <c r="K265" s="45">
        <f>ROUND(tblLog[[#This Row],[Часы]]*tblLog[[#This Row],[СтавкаЗП]],2)</f>
        <v>2184</v>
      </c>
    </row>
    <row r="266">
      <c r="A266" s="41" t="n">
        <v>46283</v>
      </c>
      <c r="B266" s="42" t="inlineStr">
        <is>
          <t>Окафор Инес</t>
        </is>
      </c>
      <c r="C266" s="42" t="inlineStr">
        <is>
          <t>Клиентский портал</t>
        </is>
      </c>
      <c r="D266" s="42" t="inlineStr">
        <is>
          <t>Авторизация и роли</t>
        </is>
      </c>
      <c r="E266" s="43" t="n">
        <v>3.38</v>
      </c>
      <c r="F266" s="42" t="inlineStr">
        <is>
          <t>Да</t>
        </is>
      </c>
      <c r="G266" s="44">
        <f>IF(billInc&gt;0,ROUNDUP(tblLog[[#This Row],[Часы]]/billInc,0)*billInc,tblLog[[#This Row],[Часы]])</f>
        <v>3.5</v>
      </c>
      <c r="H266" s="45">
        <f>IFERROR(INDEX(tblRates[СтавкаКлиенту],MATCH(tblLog[[#This Row],[Сотрудник]],tblRates[Сотрудник],0)),0)</f>
        <v>1900</v>
      </c>
      <c r="I266" s="45">
        <f>IF(tblLog[[#This Row],[Оплачиваемо]]=yesFlag,ROUND(tblLog[[#This Row],[ЧасыКОплате]]*tblLog[[#This Row],[Ставка]],2),0)</f>
        <v>6650</v>
      </c>
      <c r="J266" s="45">
        <f>IFERROR(INDEX(tblRates[СтавкаСотруднику],MATCH(tblLog[[#This Row],[Сотрудник]],tblRates[Сотрудник],0)),0)</f>
        <v>1200</v>
      </c>
      <c r="K266" s="45">
        <f>ROUND(tblLog[[#This Row],[Часы]]*tblLog[[#This Row],[СтавкаЗП]],2)</f>
        <v>4056</v>
      </c>
    </row>
    <row r="267">
      <c r="A267" s="41" t="n">
        <v>46283</v>
      </c>
      <c r="B267" s="42" t="inlineStr">
        <is>
          <t>Окафор Инес</t>
        </is>
      </c>
      <c r="C267" s="42" t="inlineStr">
        <is>
          <t>Мобильное приложение для цеха</t>
        </is>
      </c>
      <c r="D267" s="42" t="inlineStr">
        <is>
          <t>Push-уведомления</t>
        </is>
      </c>
      <c r="E267" s="43" t="n">
        <v>0.8</v>
      </c>
      <c r="F267" s="42" t="inlineStr">
        <is>
          <t>Да</t>
        </is>
      </c>
      <c r="G267" s="44">
        <f>IF(billInc&gt;0,ROUNDUP(tblLog[[#This Row],[Часы]]/billInc,0)*billInc,tblLog[[#This Row],[Часы]])</f>
        <v>1</v>
      </c>
      <c r="H267" s="45">
        <f>IFERROR(INDEX(tblRates[СтавкаКлиенту],MATCH(tblLog[[#This Row],[Сотрудник]],tblRates[Сотрудник],0)),0)</f>
        <v>1900</v>
      </c>
      <c r="I267" s="45">
        <f>IF(tblLog[[#This Row],[Оплачиваемо]]=yesFlag,ROUND(tblLog[[#This Row],[ЧасыКОплате]]*tblLog[[#This Row],[Ставка]],2),0)</f>
        <v>1900</v>
      </c>
      <c r="J267" s="45">
        <f>IFERROR(INDEX(tblRates[СтавкаСотруднику],MATCH(tblLog[[#This Row],[Сотрудник]],tblRates[Сотрудник],0)),0)</f>
        <v>1200</v>
      </c>
      <c r="K267" s="45">
        <f>ROUND(tblLog[[#This Row],[Часы]]*tblLog[[#This Row],[СтавкаЗП]],2)</f>
        <v>960</v>
      </c>
    </row>
    <row r="268">
      <c r="A268" s="41" t="n">
        <v>46286</v>
      </c>
      <c r="B268" s="42" t="inlineStr">
        <is>
          <t>Бреннер Лука</t>
        </is>
      </c>
      <c r="C268" s="42" t="inlineStr">
        <is>
          <t>Клиентский портал</t>
        </is>
      </c>
      <c r="D268" s="42" t="inlineStr">
        <is>
          <t>Страница статуса заказа</t>
        </is>
      </c>
      <c r="E268" s="43" t="n">
        <v>4.17</v>
      </c>
      <c r="F268" s="42" t="inlineStr">
        <is>
          <t>Да</t>
        </is>
      </c>
      <c r="G268" s="44">
        <f>IF(billInc&gt;0,ROUNDUP(tblLog[[#This Row],[Часы]]/billInc,0)*billInc,tblLog[[#This Row],[Часы]])</f>
        <v>4.25</v>
      </c>
      <c r="H268" s="45">
        <f>IFERROR(INDEX(tblRates[СтавкаКлиенту],MATCH(tblLog[[#This Row],[Сотрудник]],tblRates[Сотрудник],0)),0)</f>
        <v>2300</v>
      </c>
      <c r="I268" s="45">
        <f>IF(tblLog[[#This Row],[Оплачиваемо]]=yesFlag,ROUND(tblLog[[#This Row],[ЧасыКОплате]]*tblLog[[#This Row],[Ставка]],2),0)</f>
        <v>9775</v>
      </c>
      <c r="J268" s="45">
        <f>IFERROR(INDEX(tblRates[СтавкаСотруднику],MATCH(tblLog[[#This Row],[Сотрудник]],tblRates[Сотрудник],0)),0)</f>
        <v>1500</v>
      </c>
      <c r="K268" s="45">
        <f>ROUND(tblLog[[#This Row],[Часы]]*tblLog[[#This Row],[СтавкаЗП]],2)</f>
        <v>6255</v>
      </c>
    </row>
    <row r="269">
      <c r="A269" s="41" t="n">
        <v>46286</v>
      </c>
      <c r="B269" s="42" t="inlineStr">
        <is>
          <t>Бреннер Лука</t>
        </is>
      </c>
      <c r="C269" s="42" t="inlineStr">
        <is>
          <t>Клиентский портал</t>
        </is>
      </c>
      <c r="D269" s="42" t="inlineStr">
        <is>
          <t>Авторизация и роли</t>
        </is>
      </c>
      <c r="E269" s="43" t="n">
        <v>0.35</v>
      </c>
      <c r="F269" s="42" t="inlineStr">
        <is>
          <t>Да</t>
        </is>
      </c>
      <c r="G269" s="44">
        <f>IF(billInc&gt;0,ROUNDUP(tblLog[[#This Row],[Часы]]/billInc,0)*billInc,tblLog[[#This Row],[Часы]])</f>
        <v>0.5</v>
      </c>
      <c r="H269" s="45">
        <f>IFERROR(INDEX(tblRates[СтавкаКлиенту],MATCH(tblLog[[#This Row],[Сотрудник]],tblRates[Сотрудник],0)),0)</f>
        <v>2300</v>
      </c>
      <c r="I269" s="45">
        <f>IF(tblLog[[#This Row],[Оплачиваемо]]=yesFlag,ROUND(tblLog[[#This Row],[ЧасыКОплате]]*tblLog[[#This Row],[Ставка]],2),0)</f>
        <v>1150</v>
      </c>
      <c r="J269" s="45">
        <f>IFERROR(INDEX(tblRates[СтавкаСотруднику],MATCH(tblLog[[#This Row],[Сотрудник]],tblRates[Сотрудник],0)),0)</f>
        <v>1500</v>
      </c>
      <c r="K269" s="45">
        <f>ROUND(tblLog[[#This Row],[Часы]]*tblLog[[#This Row],[СтавкаЗП]],2)</f>
        <v>525</v>
      </c>
    </row>
    <row r="270">
      <c r="A270" s="41" t="n">
        <v>46286</v>
      </c>
      <c r="B270" s="42" t="inlineStr">
        <is>
          <t>Бреннер Лука</t>
        </is>
      </c>
      <c r="C270" s="42" t="inlineStr">
        <is>
          <t>Клиентский портал</t>
        </is>
      </c>
      <c r="D270" s="42" t="inlineStr">
        <is>
          <t>Страница статуса заказа</t>
        </is>
      </c>
      <c r="E270" s="43" t="n">
        <v>2.48</v>
      </c>
      <c r="F270" s="42" t="inlineStr">
        <is>
          <t>Да</t>
        </is>
      </c>
      <c r="G270" s="44">
        <f>IF(billInc&gt;0,ROUNDUP(tblLog[[#This Row],[Часы]]/billInc,0)*billInc,tblLog[[#This Row],[Часы]])</f>
        <v>2.5</v>
      </c>
      <c r="H270" s="45">
        <f>IFERROR(INDEX(tblRates[СтавкаКлиенту],MATCH(tblLog[[#This Row],[Сотрудник]],tblRates[Сотрудник],0)),0)</f>
        <v>2300</v>
      </c>
      <c r="I270" s="45">
        <f>IF(tblLog[[#This Row],[Оплачиваемо]]=yesFlag,ROUND(tblLog[[#This Row],[ЧасыКОплате]]*tblLog[[#This Row],[Ставка]],2),0)</f>
        <v>5750</v>
      </c>
      <c r="J270" s="45">
        <f>IFERROR(INDEX(tblRates[СтавкаСотруднику],MATCH(tblLog[[#This Row],[Сотрудник]],tblRates[Сотрудник],0)),0)</f>
        <v>1500</v>
      </c>
      <c r="K270" s="45">
        <f>ROUND(tblLog[[#This Row],[Часы]]*tblLog[[#This Row],[СтавкаЗП]],2)</f>
        <v>3720</v>
      </c>
    </row>
    <row r="271">
      <c r="A271" s="41" t="n">
        <v>46286</v>
      </c>
      <c r="B271" s="42" t="inlineStr">
        <is>
          <t>Варга Тео</t>
        </is>
      </c>
      <c r="C271" s="42" t="inlineStr">
        <is>
          <t>Клиентский портал</t>
        </is>
      </c>
      <c r="D271" s="42" t="inlineStr">
        <is>
          <t>Страница статуса заказа</t>
        </is>
      </c>
      <c r="E271" s="43" t="n">
        <v>1.64</v>
      </c>
      <c r="F271" s="42" t="inlineStr">
        <is>
          <t>Да</t>
        </is>
      </c>
      <c r="G271" s="44">
        <f>IF(billInc&gt;0,ROUNDUP(tblLog[[#This Row],[Часы]]/billInc,0)*billInc,tblLog[[#This Row],[Часы]])</f>
        <v>1.75</v>
      </c>
      <c r="H271" s="45">
        <f>IFERROR(INDEX(tblRates[СтавкаКлиенту],MATCH(tblLog[[#This Row],[Сотрудник]],tblRates[Сотрудник],0)),0)</f>
        <v>2600</v>
      </c>
      <c r="I271" s="45">
        <f>IF(tblLog[[#This Row],[Оплачиваемо]]=yesFlag,ROUND(tblLog[[#This Row],[ЧасыКОплате]]*tblLog[[#This Row],[Ставка]],2),0)</f>
        <v>4550</v>
      </c>
      <c r="J271" s="45">
        <f>IFERROR(INDEX(tblRates[СтавкаСотруднику],MATCH(tblLog[[#This Row],[Сотрудник]],tblRates[Сотрудник],0)),0)</f>
        <v>1700</v>
      </c>
      <c r="K271" s="45">
        <f>ROUND(tblLog[[#This Row],[Часы]]*tblLog[[#This Row],[СтавкаЗП]],2)</f>
        <v>2788</v>
      </c>
    </row>
    <row r="272">
      <c r="A272" s="41" t="n">
        <v>46286</v>
      </c>
      <c r="B272" s="42" t="inlineStr">
        <is>
          <t>Варга Тео</t>
        </is>
      </c>
      <c r="C272" s="42" t="inlineStr">
        <is>
          <t>Мобильное приложение для цеха</t>
        </is>
      </c>
      <c r="D272" s="42" t="inlineStr">
        <is>
          <t>Сканирование штрихкодов</t>
        </is>
      </c>
      <c r="E272" s="43" t="n">
        <v>1.83</v>
      </c>
      <c r="F272" s="42" t="inlineStr">
        <is>
          <t>Да</t>
        </is>
      </c>
      <c r="G272" s="44">
        <f>IF(billInc&gt;0,ROUNDUP(tblLog[[#This Row],[Часы]]/billInc,0)*billInc,tblLog[[#This Row],[Часы]])</f>
        <v>2</v>
      </c>
      <c r="H272" s="45">
        <f>IFERROR(INDEX(tblRates[СтавкаКлиенту],MATCH(tblLog[[#This Row],[Сотрудник]],tblRates[Сотрудник],0)),0)</f>
        <v>2600</v>
      </c>
      <c r="I272" s="45">
        <f>IF(tblLog[[#This Row],[Оплачиваемо]]=yesFlag,ROUND(tblLog[[#This Row],[ЧасыКОплате]]*tblLog[[#This Row],[Ставка]],2),0)</f>
        <v>5200</v>
      </c>
      <c r="J272" s="45">
        <f>IFERROR(INDEX(tblRates[СтавкаСотруднику],MATCH(tblLog[[#This Row],[Сотрудник]],tblRates[Сотрудник],0)),0)</f>
        <v>1700</v>
      </c>
      <c r="K272" s="45">
        <f>ROUND(tblLog[[#This Row],[Часы]]*tblLog[[#This Row],[СтавкаЗП]],2)</f>
        <v>3111</v>
      </c>
    </row>
    <row r="273">
      <c r="A273" s="41" t="n">
        <v>46286</v>
      </c>
      <c r="B273" s="42" t="inlineStr">
        <is>
          <t>Варга Тео</t>
        </is>
      </c>
      <c r="C273" s="42" t="inlineStr">
        <is>
          <t>Клиентский портал</t>
        </is>
      </c>
      <c r="D273" s="42" t="inlineStr">
        <is>
          <t>Авторизация и роли</t>
        </is>
      </c>
      <c r="E273" s="43" t="n">
        <v>0.58</v>
      </c>
      <c r="F273" s="42" t="inlineStr">
        <is>
          <t>Да</t>
        </is>
      </c>
      <c r="G273" s="44">
        <f>IF(billInc&gt;0,ROUNDUP(tblLog[[#This Row],[Часы]]/billInc,0)*billInc,tblLog[[#This Row],[Часы]])</f>
        <v>0.75</v>
      </c>
      <c r="H273" s="45">
        <f>IFERROR(INDEX(tblRates[СтавкаКлиенту],MATCH(tblLog[[#This Row],[Сотрудник]],tblRates[Сотрудник],0)),0)</f>
        <v>2600</v>
      </c>
      <c r="I273" s="45">
        <f>IF(tblLog[[#This Row],[Оплачиваемо]]=yesFlag,ROUND(tblLog[[#This Row],[ЧасыКОплате]]*tblLog[[#This Row],[Ставка]],2),0)</f>
        <v>1950</v>
      </c>
      <c r="J273" s="45">
        <f>IFERROR(INDEX(tblRates[СтавкаСотруднику],MATCH(tblLog[[#This Row],[Сотрудник]],tblRates[Сотрудник],0)),0)</f>
        <v>1700</v>
      </c>
      <c r="K273" s="45">
        <f>ROUND(tblLog[[#This Row],[Часы]]*tblLog[[#This Row],[СтавкаЗП]],2)</f>
        <v>986</v>
      </c>
    </row>
    <row r="274">
      <c r="A274" s="41" t="n">
        <v>46286</v>
      </c>
      <c r="B274" s="42" t="inlineStr">
        <is>
          <t>Варга Тео</t>
        </is>
      </c>
      <c r="C274" s="42" t="inlineStr">
        <is>
          <t>Мобильное приложение для цеха</t>
        </is>
      </c>
      <c r="D274" s="42" t="inlineStr">
        <is>
          <t>Push-уведомления</t>
        </is>
      </c>
      <c r="E274" s="43" t="n">
        <v>2.61</v>
      </c>
      <c r="F274" s="42" t="inlineStr">
        <is>
          <t>Да</t>
        </is>
      </c>
      <c r="G274" s="44">
        <f>IF(billInc&gt;0,ROUNDUP(tblLog[[#This Row],[Часы]]/billInc,0)*billInc,tblLog[[#This Row],[Часы]])</f>
        <v>2.75</v>
      </c>
      <c r="H274" s="45">
        <f>IFERROR(INDEX(tblRates[СтавкаКлиенту],MATCH(tblLog[[#This Row],[Сотрудник]],tblRates[Сотрудник],0)),0)</f>
        <v>2600</v>
      </c>
      <c r="I274" s="45">
        <f>IF(tblLog[[#This Row],[Оплачиваемо]]=yesFlag,ROUND(tblLog[[#This Row],[ЧасыКОплате]]*tblLog[[#This Row],[Ставка]],2),0)</f>
        <v>7150</v>
      </c>
      <c r="J274" s="45">
        <f>IFERROR(INDEX(tblRates[СтавкаСотруднику],MATCH(tblLog[[#This Row],[Сотрудник]],tblRates[Сотрудник],0)),0)</f>
        <v>1700</v>
      </c>
      <c r="K274" s="45">
        <f>ROUND(tblLog[[#This Row],[Часы]]*tblLog[[#This Row],[СтавкаЗП]],2)</f>
        <v>4437</v>
      </c>
    </row>
    <row r="275">
      <c r="A275" s="41" t="n">
        <v>46286</v>
      </c>
      <c r="B275" s="42" t="inlineStr">
        <is>
          <t>Варга Тео</t>
        </is>
      </c>
      <c r="C275" s="42" t="inlineStr">
        <is>
          <t>Клиентский портал</t>
        </is>
      </c>
      <c r="D275" s="42" t="inlineStr">
        <is>
          <t>Код-ревью</t>
        </is>
      </c>
      <c r="E275" s="43" t="n">
        <v>0.34</v>
      </c>
      <c r="F275" s="42" t="inlineStr">
        <is>
          <t>Да</t>
        </is>
      </c>
      <c r="G275" s="44">
        <f>IF(billInc&gt;0,ROUNDUP(tblLog[[#This Row],[Часы]]/billInc,0)*billInc,tblLog[[#This Row],[Часы]])</f>
        <v>0.5</v>
      </c>
      <c r="H275" s="45">
        <f>IFERROR(INDEX(tblRates[СтавкаКлиенту],MATCH(tblLog[[#This Row],[Сотрудник]],tblRates[Сотрудник],0)),0)</f>
        <v>2600</v>
      </c>
      <c r="I275" s="45">
        <f>IF(tblLog[[#This Row],[Оплачиваемо]]=yesFlag,ROUND(tblLog[[#This Row],[ЧасыКОплате]]*tblLog[[#This Row],[Ставка]],2),0)</f>
        <v>1300</v>
      </c>
      <c r="J275" s="45">
        <f>IFERROR(INDEX(tblRates[СтавкаСотруднику],MATCH(tblLog[[#This Row],[Сотрудник]],tblRates[Сотрудник],0)),0)</f>
        <v>1700</v>
      </c>
      <c r="K275" s="45">
        <f>ROUND(tblLog[[#This Row],[Часы]]*tblLog[[#This Row],[СтавкаЗП]],2)</f>
        <v>578</v>
      </c>
    </row>
    <row r="276">
      <c r="A276" s="41" t="n">
        <v>46286</v>
      </c>
      <c r="B276" s="42" t="inlineStr">
        <is>
          <t>Окафор Инес</t>
        </is>
      </c>
      <c r="C276" s="42" t="inlineStr">
        <is>
          <t>Поддержка</t>
        </is>
      </c>
      <c r="D276" s="42" t="inlineStr">
        <is>
          <t>Исправление ошибок</t>
        </is>
      </c>
      <c r="E276" s="43" t="n">
        <v>3.5</v>
      </c>
      <c r="F276" s="42" t="inlineStr">
        <is>
          <t>Да</t>
        </is>
      </c>
      <c r="G276" s="44">
        <f>IF(billInc&gt;0,ROUNDUP(tblLog[[#This Row],[Часы]]/billInc,0)*billInc,tblLog[[#This Row],[Часы]])</f>
        <v>3.5</v>
      </c>
      <c r="H276" s="45">
        <f>IFERROR(INDEX(tblRates[СтавкаКлиенту],MATCH(tblLog[[#This Row],[Сотрудник]],tblRates[Сотрудник],0)),0)</f>
        <v>1900</v>
      </c>
      <c r="I276" s="45">
        <f>IF(tblLog[[#This Row],[Оплачиваемо]]=yesFlag,ROUND(tblLog[[#This Row],[ЧасыКОплате]]*tblLog[[#This Row],[Ставка]],2),0)</f>
        <v>6650</v>
      </c>
      <c r="J276" s="45">
        <f>IFERROR(INDEX(tblRates[СтавкаСотруднику],MATCH(tblLog[[#This Row],[Сотрудник]],tblRates[Сотрудник],0)),0)</f>
        <v>1200</v>
      </c>
      <c r="K276" s="45">
        <f>ROUND(tblLog[[#This Row],[Часы]]*tblLog[[#This Row],[СтавкаЗП]],2)</f>
        <v>4200</v>
      </c>
    </row>
    <row r="277">
      <c r="A277" s="41" t="n">
        <v>46286</v>
      </c>
      <c r="B277" s="42" t="inlineStr">
        <is>
          <t>Окафор Инес</t>
        </is>
      </c>
      <c r="C277" s="42" t="inlineStr">
        <is>
          <t>Клиентский портал</t>
        </is>
      </c>
      <c r="D277" s="42" t="inlineStr">
        <is>
          <t>Код-ревью</t>
        </is>
      </c>
      <c r="E277" s="43" t="n">
        <v>0.54</v>
      </c>
      <c r="F277" s="42" t="inlineStr">
        <is>
          <t>Да</t>
        </is>
      </c>
      <c r="G277" s="44">
        <f>IF(billInc&gt;0,ROUNDUP(tblLog[[#This Row],[Часы]]/billInc,0)*billInc,tblLog[[#This Row],[Часы]])</f>
        <v>0.75</v>
      </c>
      <c r="H277" s="45">
        <f>IFERROR(INDEX(tblRates[СтавкаКлиенту],MATCH(tblLog[[#This Row],[Сотрудник]],tblRates[Сотрудник],0)),0)</f>
        <v>1900</v>
      </c>
      <c r="I277" s="45">
        <f>IF(tblLog[[#This Row],[Оплачиваемо]]=yesFlag,ROUND(tblLog[[#This Row],[ЧасыКОплате]]*tblLog[[#This Row],[Ставка]],2),0)</f>
        <v>1425</v>
      </c>
      <c r="J277" s="45">
        <f>IFERROR(INDEX(tblRates[СтавкаСотруднику],MATCH(tblLog[[#This Row],[Сотрудник]],tblRates[Сотрудник],0)),0)</f>
        <v>1200</v>
      </c>
      <c r="K277" s="45">
        <f>ROUND(tblLog[[#This Row],[Часы]]*tblLog[[#This Row],[СтавкаЗП]],2)</f>
        <v>648</v>
      </c>
    </row>
    <row r="278">
      <c r="A278" s="41" t="n">
        <v>46286</v>
      </c>
      <c r="B278" s="42" t="inlineStr">
        <is>
          <t>Окафор Инес</t>
        </is>
      </c>
      <c r="C278" s="42" t="inlineStr">
        <is>
          <t>Поддержка</t>
        </is>
      </c>
      <c r="D278" s="42" t="inlineStr">
        <is>
          <t>Созвон с клиентом</t>
        </is>
      </c>
      <c r="E278" s="43" t="n">
        <v>2.05</v>
      </c>
      <c r="F278" s="42" t="inlineStr">
        <is>
          <t>Да</t>
        </is>
      </c>
      <c r="G278" s="44">
        <f>IF(billInc&gt;0,ROUNDUP(tblLog[[#This Row],[Часы]]/billInc,0)*billInc,tblLog[[#This Row],[Часы]])</f>
        <v>2.25</v>
      </c>
      <c r="H278" s="45">
        <f>IFERROR(INDEX(tblRates[СтавкаКлиенту],MATCH(tblLog[[#This Row],[Сотрудник]],tblRates[Сотрудник],0)),0)</f>
        <v>1900</v>
      </c>
      <c r="I278" s="45">
        <f>IF(tblLog[[#This Row],[Оплачиваемо]]=yesFlag,ROUND(tblLog[[#This Row],[ЧасыКОплате]]*tblLog[[#This Row],[Ставка]],2),0)</f>
        <v>4275</v>
      </c>
      <c r="J278" s="45">
        <f>IFERROR(INDEX(tblRates[СтавкаСотруднику],MATCH(tblLog[[#This Row],[Сотрудник]],tblRates[Сотрудник],0)),0)</f>
        <v>1200</v>
      </c>
      <c r="K278" s="45">
        <f>ROUND(tblLog[[#This Row],[Часы]]*tblLog[[#This Row],[СтавкаЗП]],2)</f>
        <v>2460</v>
      </c>
    </row>
    <row r="279">
      <c r="A279" s="41" t="n">
        <v>46286</v>
      </c>
      <c r="B279" s="42" t="inlineStr">
        <is>
          <t>Окафор Инес</t>
        </is>
      </c>
      <c r="C279" s="42" t="inlineStr">
        <is>
          <t>Мобильное приложение для цеха</t>
        </is>
      </c>
      <c r="D279" s="42" t="inlineStr">
        <is>
          <t>Push-уведомления</t>
        </is>
      </c>
      <c r="E279" s="43" t="n">
        <v>1.91</v>
      </c>
      <c r="F279" s="42" t="inlineStr">
        <is>
          <t>Да</t>
        </is>
      </c>
      <c r="G279" s="44">
        <f>IF(billInc&gt;0,ROUNDUP(tblLog[[#This Row],[Часы]]/billInc,0)*billInc,tblLog[[#This Row],[Часы]])</f>
        <v>2</v>
      </c>
      <c r="H279" s="45">
        <f>IFERROR(INDEX(tblRates[СтавкаКлиенту],MATCH(tblLog[[#This Row],[Сотрудник]],tblRates[Сотрудник],0)),0)</f>
        <v>1900</v>
      </c>
      <c r="I279" s="45">
        <f>IF(tblLog[[#This Row],[Оплачиваемо]]=yesFlag,ROUND(tblLog[[#This Row],[ЧасыКОплате]]*tblLog[[#This Row],[Ставка]],2),0)</f>
        <v>3800</v>
      </c>
      <c r="J279" s="45">
        <f>IFERROR(INDEX(tblRates[СтавкаСотруднику],MATCH(tblLog[[#This Row],[Сотрудник]],tblRates[Сотрудник],0)),0)</f>
        <v>1200</v>
      </c>
      <c r="K279" s="45">
        <f>ROUND(tblLog[[#This Row],[Часы]]*tblLog[[#This Row],[СтавкаЗП]],2)</f>
        <v>2292</v>
      </c>
    </row>
    <row r="280">
      <c r="A280" s="41" t="n">
        <v>46286</v>
      </c>
      <c r="B280" s="42" t="inlineStr">
        <is>
          <t>Сольберг Мира</t>
        </is>
      </c>
      <c r="C280" s="42" t="inlineStr">
        <is>
          <t>Мобильное приложение для цеха</t>
        </is>
      </c>
      <c r="D280" s="42" t="inlineStr">
        <is>
          <t>Push-уведомления</t>
        </is>
      </c>
      <c r="E280" s="43" t="n">
        <v>2.77</v>
      </c>
      <c r="F280" s="42" t="inlineStr">
        <is>
          <t>Да</t>
        </is>
      </c>
      <c r="G280" s="44">
        <f>IF(billInc&gt;0,ROUNDUP(tblLog[[#This Row],[Часы]]/billInc,0)*billInc,tblLog[[#This Row],[Часы]])</f>
        <v>3</v>
      </c>
      <c r="H280" s="45">
        <f>IFERROR(INDEX(tblRates[СтавкаКлиенту],MATCH(tblLog[[#This Row],[Сотрудник]],tblRates[Сотрудник],0)),0)</f>
        <v>3500</v>
      </c>
      <c r="I280" s="45">
        <f>IF(tblLog[[#This Row],[Оплачиваемо]]=yesFlag,ROUND(tblLog[[#This Row],[ЧасыКОплате]]*tblLog[[#This Row],[Ставка]],2),0)</f>
        <v>10500</v>
      </c>
      <c r="J280" s="45">
        <f>IFERROR(INDEX(tblRates[СтавкаСотруднику],MATCH(tblLog[[#This Row],[Сотрудник]],tblRates[Сотрудник],0)),0)</f>
        <v>2400</v>
      </c>
      <c r="K280" s="45">
        <f>ROUND(tblLog[[#This Row],[Часы]]*tblLog[[#This Row],[СтавкаЗП]],2)</f>
        <v>6648</v>
      </c>
    </row>
    <row r="281">
      <c r="A281" s="41" t="n">
        <v>46286</v>
      </c>
      <c r="B281" s="42" t="inlineStr">
        <is>
          <t>Сольберг Мира</t>
        </is>
      </c>
      <c r="C281" s="42" t="inlineStr">
        <is>
          <t>Мобильное приложение для цеха</t>
        </is>
      </c>
      <c r="D281" s="42" t="inlineStr">
        <is>
          <t>Офлайн-синхронизация</t>
        </is>
      </c>
      <c r="E281" s="43" t="n">
        <v>1.72</v>
      </c>
      <c r="F281" s="42" t="inlineStr">
        <is>
          <t>Да</t>
        </is>
      </c>
      <c r="G281" s="44">
        <f>IF(billInc&gt;0,ROUNDUP(tblLog[[#This Row],[Часы]]/billInc,0)*billInc,tblLog[[#This Row],[Часы]])</f>
        <v>1.75</v>
      </c>
      <c r="H281" s="45">
        <f>IFERROR(INDEX(tblRates[СтавкаКлиенту],MATCH(tblLog[[#This Row],[Сотрудник]],tblRates[Сотрудник],0)),0)</f>
        <v>3500</v>
      </c>
      <c r="I281" s="45">
        <f>IF(tblLog[[#This Row],[Оплачиваемо]]=yesFlag,ROUND(tblLog[[#This Row],[ЧасыКОплате]]*tblLog[[#This Row],[Ставка]],2),0)</f>
        <v>6125</v>
      </c>
      <c r="J281" s="45">
        <f>IFERROR(INDEX(tblRates[СтавкаСотруднику],MATCH(tblLog[[#This Row],[Сотрудник]],tblRates[Сотрудник],0)),0)</f>
        <v>2400</v>
      </c>
      <c r="K281" s="45">
        <f>ROUND(tblLog[[#This Row],[Часы]]*tblLog[[#This Row],[СтавкаЗП]],2)</f>
        <v>4128</v>
      </c>
    </row>
    <row r="282">
      <c r="A282" s="41" t="n">
        <v>46286</v>
      </c>
      <c r="B282" s="42" t="inlineStr">
        <is>
          <t>Сольберг Мира</t>
        </is>
      </c>
      <c r="C282" s="42" t="inlineStr">
        <is>
          <t>Мобильное приложение для цеха</t>
        </is>
      </c>
      <c r="D282" s="42" t="inlineStr">
        <is>
          <t>Push-уведомления</t>
        </is>
      </c>
      <c r="E282" s="43" t="n">
        <v>1.66</v>
      </c>
      <c r="F282" s="42" t="inlineStr">
        <is>
          <t>Да</t>
        </is>
      </c>
      <c r="G282" s="44">
        <f>IF(billInc&gt;0,ROUNDUP(tblLog[[#This Row],[Часы]]/billInc,0)*billInc,tblLog[[#This Row],[Часы]])</f>
        <v>1.75</v>
      </c>
      <c r="H282" s="45">
        <f>IFERROR(INDEX(tblRates[СтавкаКлиенту],MATCH(tblLog[[#This Row],[Сотрудник]],tblRates[Сотрудник],0)),0)</f>
        <v>3500</v>
      </c>
      <c r="I282" s="45">
        <f>IF(tblLog[[#This Row],[Оплачиваемо]]=yesFlag,ROUND(tblLog[[#This Row],[ЧасыКОплате]]*tblLog[[#This Row],[Ставка]],2),0)</f>
        <v>6125</v>
      </c>
      <c r="J282" s="45">
        <f>IFERROR(INDEX(tblRates[СтавкаСотруднику],MATCH(tblLog[[#This Row],[Сотрудник]],tblRates[Сотрудник],0)),0)</f>
        <v>2400</v>
      </c>
      <c r="K282" s="45">
        <f>ROUND(tblLog[[#This Row],[Часы]]*tblLog[[#This Row],[СтавкаЗП]],2)</f>
        <v>3984</v>
      </c>
    </row>
    <row r="283">
      <c r="A283" s="41" t="n">
        <v>46286</v>
      </c>
      <c r="B283" s="42" t="inlineStr">
        <is>
          <t>Сольберг Мира</t>
        </is>
      </c>
      <c r="C283" s="42" t="inlineStr">
        <is>
          <t>Мобильное приложение для цеха</t>
        </is>
      </c>
      <c r="D283" s="42" t="inlineStr">
        <is>
          <t>Офлайн-синхронизация</t>
        </is>
      </c>
      <c r="E283" s="43" t="n">
        <v>1.85</v>
      </c>
      <c r="F283" s="42" t="inlineStr">
        <is>
          <t>Да</t>
        </is>
      </c>
      <c r="G283" s="44">
        <f>IF(billInc&gt;0,ROUNDUP(tblLog[[#This Row],[Часы]]/billInc,0)*billInc,tblLog[[#This Row],[Часы]])</f>
        <v>2</v>
      </c>
      <c r="H283" s="45">
        <f>IFERROR(INDEX(tblRates[СтавкаКлиенту],MATCH(tblLog[[#This Row],[Сотрудник]],tblRates[Сотрудник],0)),0)</f>
        <v>3500</v>
      </c>
      <c r="I283" s="45">
        <f>IF(tblLog[[#This Row],[Оплачиваемо]]=yesFlag,ROUND(tblLog[[#This Row],[ЧасыКОплате]]*tblLog[[#This Row],[Ставка]],2),0)</f>
        <v>7000</v>
      </c>
      <c r="J283" s="45">
        <f>IFERROR(INDEX(tblRates[СтавкаСотруднику],MATCH(tblLog[[#This Row],[Сотрудник]],tblRates[Сотрудник],0)),0)</f>
        <v>2400</v>
      </c>
      <c r="K283" s="45">
        <f>ROUND(tblLog[[#This Row],[Часы]]*tblLog[[#This Row],[СтавкаЗП]],2)</f>
        <v>4440</v>
      </c>
    </row>
    <row r="284">
      <c r="A284" s="41" t="n">
        <v>46287</v>
      </c>
      <c r="B284" s="42" t="inlineStr">
        <is>
          <t>Бреннер Лука</t>
        </is>
      </c>
      <c r="C284" s="42" t="inlineStr">
        <is>
          <t>Клиентский портал</t>
        </is>
      </c>
      <c r="D284" s="42" t="inlineStr">
        <is>
          <t>Авторизация и роли</t>
        </is>
      </c>
      <c r="E284" s="43" t="n">
        <v>3.9</v>
      </c>
      <c r="F284" s="42" t="inlineStr">
        <is>
          <t>Да</t>
        </is>
      </c>
      <c r="G284" s="44">
        <f>IF(billInc&gt;0,ROUNDUP(tblLog[[#This Row],[Часы]]/billInc,0)*billInc,tblLog[[#This Row],[Часы]])</f>
        <v>4</v>
      </c>
      <c r="H284" s="45">
        <f>IFERROR(INDEX(tblRates[СтавкаКлиенту],MATCH(tblLog[[#This Row],[Сотрудник]],tblRates[Сотрудник],0)),0)</f>
        <v>2300</v>
      </c>
      <c r="I284" s="45">
        <f>IF(tblLog[[#This Row],[Оплачиваемо]]=yesFlag,ROUND(tblLog[[#This Row],[ЧасыКОплате]]*tblLog[[#This Row],[Ставка]],2),0)</f>
        <v>9200</v>
      </c>
      <c r="J284" s="45">
        <f>IFERROR(INDEX(tblRates[СтавкаСотруднику],MATCH(tblLog[[#This Row],[Сотрудник]],tblRates[Сотрудник],0)),0)</f>
        <v>1500</v>
      </c>
      <c r="K284" s="45">
        <f>ROUND(tblLog[[#This Row],[Часы]]*tblLog[[#This Row],[СтавкаЗП]],2)</f>
        <v>5850</v>
      </c>
    </row>
    <row r="285">
      <c r="A285" s="41" t="n">
        <v>46287</v>
      </c>
      <c r="B285" s="42" t="inlineStr">
        <is>
          <t>Бреннер Лука</t>
        </is>
      </c>
      <c r="C285" s="42" t="inlineStr">
        <is>
          <t>Мобильное приложение для цеха</t>
        </is>
      </c>
      <c r="D285" s="42" t="inlineStr">
        <is>
          <t>Сканирование штрихкодов</t>
        </is>
      </c>
      <c r="E285" s="43" t="n">
        <v>3.59</v>
      </c>
      <c r="F285" s="42" t="inlineStr">
        <is>
          <t>Да</t>
        </is>
      </c>
      <c r="G285" s="44">
        <f>IF(billInc&gt;0,ROUNDUP(tblLog[[#This Row],[Часы]]/billInc,0)*billInc,tblLog[[#This Row],[Часы]])</f>
        <v>3.75</v>
      </c>
      <c r="H285" s="45">
        <f>IFERROR(INDEX(tblRates[СтавкаКлиенту],MATCH(tblLog[[#This Row],[Сотрудник]],tblRates[Сотрудник],0)),0)</f>
        <v>2300</v>
      </c>
      <c r="I285" s="45">
        <f>IF(tblLog[[#This Row],[Оплачиваемо]]=yesFlag,ROUND(tblLog[[#This Row],[ЧасыКОплате]]*tblLog[[#This Row],[Ставка]],2),0)</f>
        <v>8625</v>
      </c>
      <c r="J285" s="45">
        <f>IFERROR(INDEX(tblRates[СтавкаСотруднику],MATCH(tblLog[[#This Row],[Сотрудник]],tblRates[Сотрудник],0)),0)</f>
        <v>1500</v>
      </c>
      <c r="K285" s="45">
        <f>ROUND(tblLog[[#This Row],[Часы]]*tblLog[[#This Row],[СтавкаЗП]],2)</f>
        <v>5385</v>
      </c>
    </row>
    <row r="286">
      <c r="A286" s="41" t="n">
        <v>46287</v>
      </c>
      <c r="B286" s="42" t="inlineStr">
        <is>
          <t>Варга Тео</t>
        </is>
      </c>
      <c r="C286" s="42" t="inlineStr">
        <is>
          <t>Мобильное приложение для цеха</t>
        </is>
      </c>
      <c r="D286" s="42" t="inlineStr">
        <is>
          <t>Push-уведомления</t>
        </is>
      </c>
      <c r="E286" s="43" t="n">
        <v>2.21</v>
      </c>
      <c r="F286" s="42" t="inlineStr">
        <is>
          <t>Да</t>
        </is>
      </c>
      <c r="G286" s="44">
        <f>IF(billInc&gt;0,ROUNDUP(tblLog[[#This Row],[Часы]]/billInc,0)*billInc,tblLog[[#This Row],[Часы]])</f>
        <v>2.25</v>
      </c>
      <c r="H286" s="45">
        <f>IFERROR(INDEX(tblRates[СтавкаКлиенту],MATCH(tblLog[[#This Row],[Сотрудник]],tblRates[Сотрудник],0)),0)</f>
        <v>2600</v>
      </c>
      <c r="I286" s="45">
        <f>IF(tblLog[[#This Row],[Оплачиваемо]]=yesFlag,ROUND(tblLog[[#This Row],[ЧасыКОплате]]*tblLog[[#This Row],[Ставка]],2),0)</f>
        <v>5850</v>
      </c>
      <c r="J286" s="45">
        <f>IFERROR(INDEX(tblRates[СтавкаСотруднику],MATCH(tblLog[[#This Row],[Сотрудник]],tblRates[Сотрудник],0)),0)</f>
        <v>1700</v>
      </c>
      <c r="K286" s="45">
        <f>ROUND(tblLog[[#This Row],[Часы]]*tblLog[[#This Row],[СтавкаЗП]],2)</f>
        <v>3757</v>
      </c>
    </row>
    <row r="287">
      <c r="A287" s="41" t="n">
        <v>46287</v>
      </c>
      <c r="B287" s="42" t="inlineStr">
        <is>
          <t>Варга Тео</t>
        </is>
      </c>
      <c r="C287" s="42" t="inlineStr">
        <is>
          <t>Поддержка</t>
        </is>
      </c>
      <c r="D287" s="42" t="inlineStr">
        <is>
          <t>Исправление ошибок</t>
        </is>
      </c>
      <c r="E287" s="43" t="n">
        <v>3.79</v>
      </c>
      <c r="F287" s="42" t="inlineStr">
        <is>
          <t>Нет</t>
        </is>
      </c>
      <c r="G287" s="44">
        <f>IF(billInc&gt;0,ROUNDUP(tblLog[[#This Row],[Часы]]/billInc,0)*billInc,tblLog[[#This Row],[Часы]])</f>
        <v>4</v>
      </c>
      <c r="H287" s="45">
        <f>IFERROR(INDEX(tblRates[СтавкаКлиенту],MATCH(tblLog[[#This Row],[Сотрудник]],tblRates[Сотрудник],0)),0)</f>
        <v>2600</v>
      </c>
      <c r="I287" s="45">
        <f>IF(tblLog[[#This Row],[Оплачиваемо]]=yesFlag,ROUND(tblLog[[#This Row],[ЧасыКОплате]]*tblLog[[#This Row],[Ставка]],2),0)</f>
        <v>0</v>
      </c>
      <c r="J287" s="45">
        <f>IFERROR(INDEX(tblRates[СтавкаСотруднику],MATCH(tblLog[[#This Row],[Сотрудник]],tblRates[Сотрудник],0)),0)</f>
        <v>1700</v>
      </c>
      <c r="K287" s="45">
        <f>ROUND(tblLog[[#This Row],[Часы]]*tblLog[[#This Row],[СтавкаЗП]],2)</f>
        <v>6443</v>
      </c>
    </row>
    <row r="288">
      <c r="A288" s="41" t="n">
        <v>46287</v>
      </c>
      <c r="B288" s="42" t="inlineStr">
        <is>
          <t>Окафор Инес</t>
        </is>
      </c>
      <c r="C288" s="42" t="inlineStr">
        <is>
          <t>Клиентский портал</t>
        </is>
      </c>
      <c r="D288" s="42" t="inlineStr">
        <is>
          <t>Код-ревью</t>
        </is>
      </c>
      <c r="E288" s="43" t="n">
        <v>3.69</v>
      </c>
      <c r="F288" s="42" t="inlineStr">
        <is>
          <t>Да</t>
        </is>
      </c>
      <c r="G288" s="44">
        <f>IF(billInc&gt;0,ROUNDUP(tblLog[[#This Row],[Часы]]/billInc,0)*billInc,tblLog[[#This Row],[Часы]])</f>
        <v>3.75</v>
      </c>
      <c r="H288" s="45">
        <f>IFERROR(INDEX(tblRates[СтавкаКлиенту],MATCH(tblLog[[#This Row],[Сотрудник]],tblRates[Сотрудник],0)),0)</f>
        <v>1900</v>
      </c>
      <c r="I288" s="45">
        <f>IF(tblLog[[#This Row],[Оплачиваемо]]=yesFlag,ROUND(tblLog[[#This Row],[ЧасыКОплате]]*tblLog[[#This Row],[Ставка]],2),0)</f>
        <v>7125</v>
      </c>
      <c r="J288" s="45">
        <f>IFERROR(INDEX(tblRates[СтавкаСотруднику],MATCH(tblLog[[#This Row],[Сотрудник]],tblRates[Сотрудник],0)),0)</f>
        <v>1200</v>
      </c>
      <c r="K288" s="45">
        <f>ROUND(tblLog[[#This Row],[Часы]]*tblLog[[#This Row],[СтавкаЗП]],2)</f>
        <v>4428</v>
      </c>
    </row>
    <row r="289">
      <c r="A289" s="41" t="n">
        <v>46287</v>
      </c>
      <c r="B289" s="42" t="inlineStr">
        <is>
          <t>Окафор Инес</t>
        </is>
      </c>
      <c r="C289" s="42" t="inlineStr">
        <is>
          <t>Мобильное приложение для цеха</t>
        </is>
      </c>
      <c r="D289" s="42" t="inlineStr">
        <is>
          <t>Офлайн-синхронизация</t>
        </is>
      </c>
      <c r="E289" s="43" t="n">
        <v>3.63</v>
      </c>
      <c r="F289" s="42" t="inlineStr">
        <is>
          <t>Да</t>
        </is>
      </c>
      <c r="G289" s="44">
        <f>IF(billInc&gt;0,ROUNDUP(tblLog[[#This Row],[Часы]]/billInc,0)*billInc,tblLog[[#This Row],[Часы]])</f>
        <v>3.75</v>
      </c>
      <c r="H289" s="45">
        <f>IFERROR(INDEX(tblRates[СтавкаКлиенту],MATCH(tblLog[[#This Row],[Сотрудник]],tblRates[Сотрудник],0)),0)</f>
        <v>1900</v>
      </c>
      <c r="I289" s="45">
        <f>IF(tblLog[[#This Row],[Оплачиваемо]]=yesFlag,ROUND(tblLog[[#This Row],[ЧасыКОплате]]*tblLog[[#This Row],[Ставка]],2),0)</f>
        <v>7125</v>
      </c>
      <c r="J289" s="45">
        <f>IFERROR(INDEX(tblRates[СтавкаСотруднику],MATCH(tblLog[[#This Row],[Сотрудник]],tblRates[Сотрудник],0)),0)</f>
        <v>1200</v>
      </c>
      <c r="K289" s="45">
        <f>ROUND(tblLog[[#This Row],[Часы]]*tblLog[[#This Row],[СтавкаЗП]],2)</f>
        <v>4356</v>
      </c>
    </row>
    <row r="290">
      <c r="A290" s="41" t="n">
        <v>46287</v>
      </c>
      <c r="B290" s="42" t="inlineStr">
        <is>
          <t>Сольберг Мира</t>
        </is>
      </c>
      <c r="C290" s="42" t="inlineStr">
        <is>
          <t>Клиентский портал</t>
        </is>
      </c>
      <c r="D290" s="42" t="inlineStr">
        <is>
          <t>Страница статуса заказа</t>
        </is>
      </c>
      <c r="E290" s="43" t="n">
        <v>3.91</v>
      </c>
      <c r="F290" s="42" t="inlineStr">
        <is>
          <t>Да</t>
        </is>
      </c>
      <c r="G290" s="44">
        <f>IF(billInc&gt;0,ROUNDUP(tblLog[[#This Row],[Часы]]/billInc,0)*billInc,tblLog[[#This Row],[Часы]])</f>
        <v>4</v>
      </c>
      <c r="H290" s="45">
        <f>IFERROR(INDEX(tblRates[СтавкаКлиенту],MATCH(tblLog[[#This Row],[Сотрудник]],tblRates[Сотрудник],0)),0)</f>
        <v>3500</v>
      </c>
      <c r="I290" s="45">
        <f>IF(tblLog[[#This Row],[Оплачиваемо]]=yesFlag,ROUND(tblLog[[#This Row],[ЧасыКОплате]]*tblLog[[#This Row],[Ставка]],2),0)</f>
        <v>14000</v>
      </c>
      <c r="J290" s="45">
        <f>IFERROR(INDEX(tblRates[СтавкаСотруднику],MATCH(tblLog[[#This Row],[Сотрудник]],tblRates[Сотрудник],0)),0)</f>
        <v>2400</v>
      </c>
      <c r="K290" s="45">
        <f>ROUND(tblLog[[#This Row],[Часы]]*tblLog[[#This Row],[СтавкаЗП]],2)</f>
        <v>9384</v>
      </c>
    </row>
    <row r="291">
      <c r="A291" s="41" t="n">
        <v>46287</v>
      </c>
      <c r="B291" s="42" t="inlineStr">
        <is>
          <t>Сольберг Мира</t>
        </is>
      </c>
      <c r="C291" s="42" t="inlineStr">
        <is>
          <t>Мобильное приложение для цеха</t>
        </is>
      </c>
      <c r="D291" s="42" t="inlineStr">
        <is>
          <t>Офлайн-синхронизация</t>
        </is>
      </c>
      <c r="E291" s="43" t="n">
        <v>0.33</v>
      </c>
      <c r="F291" s="42" t="inlineStr">
        <is>
          <t>Да</t>
        </is>
      </c>
      <c r="G291" s="44">
        <f>IF(billInc&gt;0,ROUNDUP(tblLog[[#This Row],[Часы]]/billInc,0)*billInc,tblLog[[#This Row],[Часы]])</f>
        <v>0.5</v>
      </c>
      <c r="H291" s="45">
        <f>IFERROR(INDEX(tblRates[СтавкаКлиенту],MATCH(tblLog[[#This Row],[Сотрудник]],tblRates[Сотрудник],0)),0)</f>
        <v>3500</v>
      </c>
      <c r="I291" s="45">
        <f>IF(tblLog[[#This Row],[Оплачиваемо]]=yesFlag,ROUND(tblLog[[#This Row],[ЧасыКОплате]]*tblLog[[#This Row],[Ставка]],2),0)</f>
        <v>1750</v>
      </c>
      <c r="J291" s="45">
        <f>IFERROR(INDEX(tblRates[СтавкаСотруднику],MATCH(tblLog[[#This Row],[Сотрудник]],tblRates[Сотрудник],0)),0)</f>
        <v>2400</v>
      </c>
      <c r="K291" s="45">
        <f>ROUND(tblLog[[#This Row],[Часы]]*tblLog[[#This Row],[СтавкаЗП]],2)</f>
        <v>792</v>
      </c>
    </row>
    <row r="292">
      <c r="A292" s="41" t="n">
        <v>46287</v>
      </c>
      <c r="B292" s="42" t="inlineStr">
        <is>
          <t>Сольберг Мира</t>
        </is>
      </c>
      <c r="C292" s="42" t="inlineStr">
        <is>
          <t>Мобильное приложение для цеха</t>
        </is>
      </c>
      <c r="D292" s="42" t="inlineStr">
        <is>
          <t>Push-уведомления</t>
        </is>
      </c>
      <c r="E292" s="43" t="n">
        <v>3.26</v>
      </c>
      <c r="F292" s="42" t="inlineStr">
        <is>
          <t>Да</t>
        </is>
      </c>
      <c r="G292" s="44">
        <f>IF(billInc&gt;0,ROUNDUP(tblLog[[#This Row],[Часы]]/billInc,0)*billInc,tblLog[[#This Row],[Часы]])</f>
        <v>3.5</v>
      </c>
      <c r="H292" s="45">
        <f>IFERROR(INDEX(tblRates[СтавкаКлиенту],MATCH(tblLog[[#This Row],[Сотрудник]],tblRates[Сотрудник],0)),0)</f>
        <v>3500</v>
      </c>
      <c r="I292" s="45">
        <f>IF(tblLog[[#This Row],[Оплачиваемо]]=yesFlag,ROUND(tblLog[[#This Row],[ЧасыКОплате]]*tblLog[[#This Row],[Ставка]],2),0)</f>
        <v>12250</v>
      </c>
      <c r="J292" s="45">
        <f>IFERROR(INDEX(tblRates[СтавкаСотруднику],MATCH(tblLog[[#This Row],[Сотрудник]],tblRates[Сотрудник],0)),0)</f>
        <v>2400</v>
      </c>
      <c r="K292" s="45">
        <f>ROUND(tblLog[[#This Row],[Часы]]*tblLog[[#This Row],[СтавкаЗП]],2)</f>
        <v>7824</v>
      </c>
    </row>
    <row r="293">
      <c r="A293" s="41" t="n">
        <v>46288</v>
      </c>
      <c r="B293" s="42" t="inlineStr">
        <is>
          <t>Бреннер Лука</t>
        </is>
      </c>
      <c r="C293" s="42" t="inlineStr">
        <is>
          <t>Клиентский портал</t>
        </is>
      </c>
      <c r="D293" s="42" t="inlineStr">
        <is>
          <t>Страница статуса заказа</t>
        </is>
      </c>
      <c r="E293" s="43" t="n">
        <v>2.67</v>
      </c>
      <c r="F293" s="42" t="inlineStr">
        <is>
          <t>Нет</t>
        </is>
      </c>
      <c r="G293" s="44">
        <f>IF(billInc&gt;0,ROUNDUP(tblLog[[#This Row],[Часы]]/billInc,0)*billInc,tblLog[[#This Row],[Часы]])</f>
        <v>2.75</v>
      </c>
      <c r="H293" s="45">
        <f>IFERROR(INDEX(tblRates[СтавкаКлиенту],MATCH(tblLog[[#This Row],[Сотрудник]],tblRates[Сотрудник],0)),0)</f>
        <v>2300</v>
      </c>
      <c r="I293" s="45">
        <f>IF(tblLog[[#This Row],[Оплачиваемо]]=yesFlag,ROUND(tblLog[[#This Row],[ЧасыКОплате]]*tblLog[[#This Row],[Ставка]],2),0)</f>
        <v>0</v>
      </c>
      <c r="J293" s="45">
        <f>IFERROR(INDEX(tblRates[СтавкаСотруднику],MATCH(tblLog[[#This Row],[Сотрудник]],tblRates[Сотрудник],0)),0)</f>
        <v>1500</v>
      </c>
      <c r="K293" s="45">
        <f>ROUND(tblLog[[#This Row],[Часы]]*tblLog[[#This Row],[СтавкаЗП]],2)</f>
        <v>4005</v>
      </c>
    </row>
    <row r="294">
      <c r="A294" s="41" t="n">
        <v>46288</v>
      </c>
      <c r="B294" s="42" t="inlineStr">
        <is>
          <t>Бреннер Лука</t>
        </is>
      </c>
      <c r="C294" s="42" t="inlineStr">
        <is>
          <t>Клиентский портал</t>
        </is>
      </c>
      <c r="D294" s="42" t="inlineStr">
        <is>
          <t>Код-ревью</t>
        </is>
      </c>
      <c r="E294" s="43" t="n">
        <v>0.5</v>
      </c>
      <c r="F294" s="42" t="inlineStr">
        <is>
          <t>Да</t>
        </is>
      </c>
      <c r="G294" s="44">
        <f>IF(billInc&gt;0,ROUNDUP(tblLog[[#This Row],[Часы]]/billInc,0)*billInc,tblLog[[#This Row],[Часы]])</f>
        <v>0.5</v>
      </c>
      <c r="H294" s="45">
        <f>IFERROR(INDEX(tblRates[СтавкаКлиенту],MATCH(tblLog[[#This Row],[Сотрудник]],tblRates[Сотрудник],0)),0)</f>
        <v>2300</v>
      </c>
      <c r="I294" s="45">
        <f>IF(tblLog[[#This Row],[Оплачиваемо]]=yesFlag,ROUND(tblLog[[#This Row],[ЧасыКОплате]]*tblLog[[#This Row],[Ставка]],2),0)</f>
        <v>1150</v>
      </c>
      <c r="J294" s="45">
        <f>IFERROR(INDEX(tblRates[СтавкаСотруднику],MATCH(tblLog[[#This Row],[Сотрудник]],tblRates[Сотрудник],0)),0)</f>
        <v>1500</v>
      </c>
      <c r="K294" s="45">
        <f>ROUND(tblLog[[#This Row],[Часы]]*tblLog[[#This Row],[СтавкаЗП]],2)</f>
        <v>750</v>
      </c>
    </row>
    <row r="295">
      <c r="A295" s="41" t="n">
        <v>46288</v>
      </c>
      <c r="B295" s="42" t="inlineStr">
        <is>
          <t>Бреннер Лука</t>
        </is>
      </c>
      <c r="C295" s="42" t="inlineStr">
        <is>
          <t>Клиентский портал</t>
        </is>
      </c>
      <c r="D295" s="42" t="inlineStr">
        <is>
          <t>Выгрузка отчётов</t>
        </is>
      </c>
      <c r="E295" s="43" t="n">
        <v>3.48</v>
      </c>
      <c r="F295" s="42" t="inlineStr">
        <is>
          <t>Нет</t>
        </is>
      </c>
      <c r="G295" s="44">
        <f>IF(billInc&gt;0,ROUNDUP(tblLog[[#This Row],[Часы]]/billInc,0)*billInc,tblLog[[#This Row],[Часы]])</f>
        <v>3.5</v>
      </c>
      <c r="H295" s="45">
        <f>IFERROR(INDEX(tblRates[СтавкаКлиенту],MATCH(tblLog[[#This Row],[Сотрудник]],tblRates[Сотрудник],0)),0)</f>
        <v>2300</v>
      </c>
      <c r="I295" s="45">
        <f>IF(tblLog[[#This Row],[Оплачиваемо]]=yesFlag,ROUND(tblLog[[#This Row],[ЧасыКОплате]]*tblLog[[#This Row],[Ставка]],2),0)</f>
        <v>0</v>
      </c>
      <c r="J295" s="45">
        <f>IFERROR(INDEX(tblRates[СтавкаСотруднику],MATCH(tblLog[[#This Row],[Сотрудник]],tblRates[Сотрудник],0)),0)</f>
        <v>1500</v>
      </c>
      <c r="K295" s="45">
        <f>ROUND(tblLog[[#This Row],[Часы]]*tblLog[[#This Row],[СтавкаЗП]],2)</f>
        <v>5220</v>
      </c>
    </row>
    <row r="296">
      <c r="A296" s="41" t="n">
        <v>46288</v>
      </c>
      <c r="B296" s="42" t="inlineStr">
        <is>
          <t>Бреннер Лука</t>
        </is>
      </c>
      <c r="C296" s="42" t="inlineStr">
        <is>
          <t>Клиентский портал</t>
        </is>
      </c>
      <c r="D296" s="42" t="inlineStr">
        <is>
          <t>Выгрузка отчётов</t>
        </is>
      </c>
      <c r="E296" s="43" t="n">
        <v>0.85</v>
      </c>
      <c r="F296" s="42" t="inlineStr">
        <is>
          <t>Да</t>
        </is>
      </c>
      <c r="G296" s="44">
        <f>IF(billInc&gt;0,ROUNDUP(tblLog[[#This Row],[Часы]]/billInc,0)*billInc,tblLog[[#This Row],[Часы]])</f>
        <v>1</v>
      </c>
      <c r="H296" s="45">
        <f>IFERROR(INDEX(tblRates[СтавкаКлиенту],MATCH(tblLog[[#This Row],[Сотрудник]],tblRates[Сотрудник],0)),0)</f>
        <v>2300</v>
      </c>
      <c r="I296" s="45">
        <f>IF(tblLog[[#This Row],[Оплачиваемо]]=yesFlag,ROUND(tblLog[[#This Row],[ЧасыКОплате]]*tblLog[[#This Row],[Ставка]],2),0)</f>
        <v>2300</v>
      </c>
      <c r="J296" s="45">
        <f>IFERROR(INDEX(tblRates[СтавкаСотруднику],MATCH(tblLog[[#This Row],[Сотрудник]],tblRates[Сотрудник],0)),0)</f>
        <v>1500</v>
      </c>
      <c r="K296" s="45">
        <f>ROUND(tblLog[[#This Row],[Часы]]*tblLog[[#This Row],[СтавкаЗП]],2)</f>
        <v>1275</v>
      </c>
    </row>
    <row r="297">
      <c r="A297" s="41" t="n">
        <v>46288</v>
      </c>
      <c r="B297" s="42" t="inlineStr">
        <is>
          <t>Варга Тео</t>
        </is>
      </c>
      <c r="C297" s="42" t="inlineStr">
        <is>
          <t>Мобильное приложение для цеха</t>
        </is>
      </c>
      <c r="D297" s="42" t="inlineStr">
        <is>
          <t>Сканирование штрихкодов</t>
        </is>
      </c>
      <c r="E297" s="43" t="n">
        <v>4.13</v>
      </c>
      <c r="F297" s="42" t="inlineStr">
        <is>
          <t>Да</t>
        </is>
      </c>
      <c r="G297" s="44">
        <f>IF(billInc&gt;0,ROUNDUP(tblLog[[#This Row],[Часы]]/billInc,0)*billInc,tblLog[[#This Row],[Часы]])</f>
        <v>4.25</v>
      </c>
      <c r="H297" s="45">
        <f>IFERROR(INDEX(tblRates[СтавкаКлиенту],MATCH(tblLog[[#This Row],[Сотрудник]],tblRates[Сотрудник],0)),0)</f>
        <v>2600</v>
      </c>
      <c r="I297" s="45">
        <f>IF(tblLog[[#This Row],[Оплачиваемо]]=yesFlag,ROUND(tblLog[[#This Row],[ЧасыКОплате]]*tblLog[[#This Row],[Ставка]],2),0)</f>
        <v>11050</v>
      </c>
      <c r="J297" s="45">
        <f>IFERROR(INDEX(tblRates[СтавкаСотруднику],MATCH(tblLog[[#This Row],[Сотрудник]],tblRates[Сотрудник],0)),0)</f>
        <v>1700</v>
      </c>
      <c r="K297" s="45">
        <f>ROUND(tblLog[[#This Row],[Часы]]*tblLog[[#This Row],[СтавкаЗП]],2)</f>
        <v>7021</v>
      </c>
    </row>
    <row r="298">
      <c r="A298" s="41" t="n">
        <v>46288</v>
      </c>
      <c r="B298" s="42" t="inlineStr">
        <is>
          <t>Варга Тео</t>
        </is>
      </c>
      <c r="C298" s="42" t="inlineStr">
        <is>
          <t>Мобильное приложение для цеха</t>
        </is>
      </c>
      <c r="D298" s="42" t="inlineStr">
        <is>
          <t>Push-уведомления</t>
        </is>
      </c>
      <c r="E298" s="43" t="n">
        <v>3.11</v>
      </c>
      <c r="F298" s="42" t="inlineStr">
        <is>
          <t>Да</t>
        </is>
      </c>
      <c r="G298" s="44">
        <f>IF(billInc&gt;0,ROUNDUP(tblLog[[#This Row],[Часы]]/billInc,0)*billInc,tblLog[[#This Row],[Часы]])</f>
        <v>3.25</v>
      </c>
      <c r="H298" s="45">
        <f>IFERROR(INDEX(tblRates[СтавкаКлиенту],MATCH(tblLog[[#This Row],[Сотрудник]],tblRates[Сотрудник],0)),0)</f>
        <v>2600</v>
      </c>
      <c r="I298" s="45">
        <f>IF(tblLog[[#This Row],[Оплачиваемо]]=yesFlag,ROUND(tblLog[[#This Row],[ЧасыКОплате]]*tblLog[[#This Row],[Ставка]],2),0)</f>
        <v>8450</v>
      </c>
      <c r="J298" s="45">
        <f>IFERROR(INDEX(tblRates[СтавкаСотруднику],MATCH(tblLog[[#This Row],[Сотрудник]],tblRates[Сотрудник],0)),0)</f>
        <v>1700</v>
      </c>
      <c r="K298" s="45">
        <f>ROUND(tblLog[[#This Row],[Часы]]*tblLog[[#This Row],[СтавкаЗП]],2)</f>
        <v>5287</v>
      </c>
    </row>
    <row r="299">
      <c r="A299" s="41" t="n">
        <v>46288</v>
      </c>
      <c r="B299" s="42" t="inlineStr">
        <is>
          <t>Варга Тео</t>
        </is>
      </c>
      <c r="C299" s="42" t="inlineStr">
        <is>
          <t>Мобильное приложение для цеха</t>
        </is>
      </c>
      <c r="D299" s="42" t="inlineStr">
        <is>
          <t>Push-уведомления</t>
        </is>
      </c>
      <c r="E299" s="43" t="n">
        <v>1.26</v>
      </c>
      <c r="F299" s="42" t="inlineStr">
        <is>
          <t>Да</t>
        </is>
      </c>
      <c r="G299" s="44">
        <f>IF(billInc&gt;0,ROUNDUP(tblLog[[#This Row],[Часы]]/billInc,0)*billInc,tblLog[[#This Row],[Часы]])</f>
        <v>1.5</v>
      </c>
      <c r="H299" s="45">
        <f>IFERROR(INDEX(tblRates[СтавкаКлиенту],MATCH(tblLog[[#This Row],[Сотрудник]],tblRates[Сотрудник],0)),0)</f>
        <v>2600</v>
      </c>
      <c r="I299" s="45">
        <f>IF(tblLog[[#This Row],[Оплачиваемо]]=yesFlag,ROUND(tblLog[[#This Row],[ЧасыКОплате]]*tblLog[[#This Row],[Ставка]],2),0)</f>
        <v>3900</v>
      </c>
      <c r="J299" s="45">
        <f>IFERROR(INDEX(tblRates[СтавкаСотруднику],MATCH(tblLog[[#This Row],[Сотрудник]],tblRates[Сотрудник],0)),0)</f>
        <v>1700</v>
      </c>
      <c r="K299" s="45">
        <f>ROUND(tblLog[[#This Row],[Часы]]*tblLog[[#This Row],[СтавкаЗП]],2)</f>
        <v>2142</v>
      </c>
    </row>
    <row r="300">
      <c r="A300" s="41" t="n">
        <v>46288</v>
      </c>
      <c r="B300" s="42" t="inlineStr">
        <is>
          <t>Окафор Инес</t>
        </is>
      </c>
      <c r="C300" s="42" t="inlineStr">
        <is>
          <t>Клиентский портал</t>
        </is>
      </c>
      <c r="D300" s="42" t="inlineStr">
        <is>
          <t>Код-ревью</t>
        </is>
      </c>
      <c r="E300" s="43" t="n">
        <v>3.66</v>
      </c>
      <c r="F300" s="42" t="inlineStr">
        <is>
          <t>Да</t>
        </is>
      </c>
      <c r="G300" s="44">
        <f>IF(billInc&gt;0,ROUNDUP(tblLog[[#This Row],[Часы]]/billInc,0)*billInc,tblLog[[#This Row],[Часы]])</f>
        <v>3.75</v>
      </c>
      <c r="H300" s="45">
        <f>IFERROR(INDEX(tblRates[СтавкаКлиенту],MATCH(tblLog[[#This Row],[Сотрудник]],tblRates[Сотрудник],0)),0)</f>
        <v>1900</v>
      </c>
      <c r="I300" s="45">
        <f>IF(tblLog[[#This Row],[Оплачиваемо]]=yesFlag,ROUND(tblLog[[#This Row],[ЧасыКОплате]]*tblLog[[#This Row],[Ставка]],2),0)</f>
        <v>7125</v>
      </c>
      <c r="J300" s="45">
        <f>IFERROR(INDEX(tblRates[СтавкаСотруднику],MATCH(tblLog[[#This Row],[Сотрудник]],tblRates[Сотрудник],0)),0)</f>
        <v>1200</v>
      </c>
      <c r="K300" s="45">
        <f>ROUND(tblLog[[#This Row],[Часы]]*tblLog[[#This Row],[СтавкаЗП]],2)</f>
        <v>4392</v>
      </c>
    </row>
    <row r="301">
      <c r="A301" s="41" t="n">
        <v>46288</v>
      </c>
      <c r="B301" s="42" t="inlineStr">
        <is>
          <t>Окафор Инес</t>
        </is>
      </c>
      <c r="C301" s="42" t="inlineStr">
        <is>
          <t>Клиентский портал</t>
        </is>
      </c>
      <c r="D301" s="42" t="inlineStr">
        <is>
          <t>Авторизация и роли</t>
        </is>
      </c>
      <c r="E301" s="43" t="n">
        <v>3.29</v>
      </c>
      <c r="F301" s="42" t="inlineStr">
        <is>
          <t>Да</t>
        </is>
      </c>
      <c r="G301" s="44">
        <f>IF(billInc&gt;0,ROUNDUP(tblLog[[#This Row],[Часы]]/billInc,0)*billInc,tblLog[[#This Row],[Часы]])</f>
        <v>3.5</v>
      </c>
      <c r="H301" s="45">
        <f>IFERROR(INDEX(tblRates[СтавкаКлиенту],MATCH(tblLog[[#This Row],[Сотрудник]],tblRates[Сотрудник],0)),0)</f>
        <v>1900</v>
      </c>
      <c r="I301" s="45">
        <f>IF(tblLog[[#This Row],[Оплачиваемо]]=yesFlag,ROUND(tblLog[[#This Row],[ЧасыКОплате]]*tblLog[[#This Row],[Ставка]],2),0)</f>
        <v>6650</v>
      </c>
      <c r="J301" s="45">
        <f>IFERROR(INDEX(tblRates[СтавкаСотруднику],MATCH(tblLog[[#This Row],[Сотрудник]],tblRates[Сотрудник],0)),0)</f>
        <v>1200</v>
      </c>
      <c r="K301" s="45">
        <f>ROUND(tblLog[[#This Row],[Часы]]*tblLog[[#This Row],[СтавкаЗП]],2)</f>
        <v>3948</v>
      </c>
    </row>
    <row r="302">
      <c r="A302" s="41" t="n">
        <v>46289</v>
      </c>
      <c r="B302" s="42" t="inlineStr">
        <is>
          <t>Бреннер Лука</t>
        </is>
      </c>
      <c r="C302" s="42" t="inlineStr">
        <is>
          <t>Клиентский портал</t>
        </is>
      </c>
      <c r="D302" s="42" t="inlineStr">
        <is>
          <t>Авторизация и роли</t>
        </is>
      </c>
      <c r="E302" s="43" t="n">
        <v>4.02</v>
      </c>
      <c r="F302" s="42" t="inlineStr">
        <is>
          <t>Да</t>
        </is>
      </c>
      <c r="G302" s="44">
        <f>IF(billInc&gt;0,ROUNDUP(tblLog[[#This Row],[Часы]]/billInc,0)*billInc,tblLog[[#This Row],[Часы]])</f>
        <v>4.25</v>
      </c>
      <c r="H302" s="45">
        <f>IFERROR(INDEX(tblRates[СтавкаКлиенту],MATCH(tblLog[[#This Row],[Сотрудник]],tblRates[Сотрудник],0)),0)</f>
        <v>2300</v>
      </c>
      <c r="I302" s="45">
        <f>IF(tblLog[[#This Row],[Оплачиваемо]]=yesFlag,ROUND(tblLog[[#This Row],[ЧасыКОплате]]*tblLog[[#This Row],[Ставка]],2),0)</f>
        <v>9775</v>
      </c>
      <c r="J302" s="45">
        <f>IFERROR(INDEX(tblRates[СтавкаСотруднику],MATCH(tblLog[[#This Row],[Сотрудник]],tblRates[Сотрудник],0)),0)</f>
        <v>1500</v>
      </c>
      <c r="K302" s="45">
        <f>ROUND(tblLog[[#This Row],[Часы]]*tblLog[[#This Row],[СтавкаЗП]],2)</f>
        <v>6030</v>
      </c>
    </row>
    <row r="303">
      <c r="A303" s="41" t="n">
        <v>46289</v>
      </c>
      <c r="B303" s="42" t="inlineStr">
        <is>
          <t>Бреннер Лука</t>
        </is>
      </c>
      <c r="C303" s="42" t="inlineStr">
        <is>
          <t>Клиентский портал</t>
        </is>
      </c>
      <c r="D303" s="42" t="inlineStr">
        <is>
          <t>Авторизация и роли</t>
        </is>
      </c>
      <c r="E303" s="43" t="n">
        <v>2.74</v>
      </c>
      <c r="F303" s="42" t="inlineStr">
        <is>
          <t>Да</t>
        </is>
      </c>
      <c r="G303" s="44">
        <f>IF(billInc&gt;0,ROUNDUP(tblLog[[#This Row],[Часы]]/billInc,0)*billInc,tblLog[[#This Row],[Часы]])</f>
        <v>2.75</v>
      </c>
      <c r="H303" s="45">
        <f>IFERROR(INDEX(tblRates[СтавкаКлиенту],MATCH(tblLog[[#This Row],[Сотрудник]],tblRates[Сотрудник],0)),0)</f>
        <v>2300</v>
      </c>
      <c r="I303" s="45">
        <f>IF(tblLog[[#This Row],[Оплачиваемо]]=yesFlag,ROUND(tblLog[[#This Row],[ЧасыКОплате]]*tblLog[[#This Row],[Ставка]],2),0)</f>
        <v>6325</v>
      </c>
      <c r="J303" s="45">
        <f>IFERROR(INDEX(tblRates[СтавкаСотруднику],MATCH(tblLog[[#This Row],[Сотрудник]],tblRates[Сотрудник],0)),0)</f>
        <v>1500</v>
      </c>
      <c r="K303" s="45">
        <f>ROUND(tblLog[[#This Row],[Часы]]*tblLog[[#This Row],[СтавкаЗП]],2)</f>
        <v>4110</v>
      </c>
    </row>
    <row r="304">
      <c r="A304" s="41" t="n">
        <v>46289</v>
      </c>
      <c r="B304" s="42" t="inlineStr">
        <is>
          <t>Бреннер Лука</t>
        </is>
      </c>
      <c r="C304" s="42" t="inlineStr">
        <is>
          <t>Клиентский портал</t>
        </is>
      </c>
      <c r="D304" s="42" t="inlineStr">
        <is>
          <t>Код-ревью</t>
        </is>
      </c>
      <c r="E304" s="43" t="n">
        <v>0.24</v>
      </c>
      <c r="F304" s="42" t="inlineStr">
        <is>
          <t>Да</t>
        </is>
      </c>
      <c r="G304" s="44">
        <f>IF(billInc&gt;0,ROUNDUP(tblLog[[#This Row],[Часы]]/billInc,0)*billInc,tblLog[[#This Row],[Часы]])</f>
        <v>0.25</v>
      </c>
      <c r="H304" s="45">
        <f>IFERROR(INDEX(tblRates[СтавкаКлиенту],MATCH(tblLog[[#This Row],[Сотрудник]],tblRates[Сотрудник],0)),0)</f>
        <v>2300</v>
      </c>
      <c r="I304" s="45">
        <f>IF(tblLog[[#This Row],[Оплачиваемо]]=yesFlag,ROUND(tblLog[[#This Row],[ЧасыКОплате]]*tblLog[[#This Row],[Ставка]],2),0)</f>
        <v>575</v>
      </c>
      <c r="J304" s="45">
        <f>IFERROR(INDEX(tblRates[СтавкаСотруднику],MATCH(tblLog[[#This Row],[Сотрудник]],tblRates[Сотрудник],0)),0)</f>
        <v>1500</v>
      </c>
      <c r="K304" s="45">
        <f>ROUND(tblLog[[#This Row],[Часы]]*tblLog[[#This Row],[СтавкаЗП]],2)</f>
        <v>360</v>
      </c>
    </row>
    <row r="305">
      <c r="A305" s="41" t="n">
        <v>46289</v>
      </c>
      <c r="B305" s="42" t="inlineStr">
        <is>
          <t>Варга Тео</t>
        </is>
      </c>
      <c r="C305" s="42" t="inlineStr">
        <is>
          <t>Мобильное приложение для цеха</t>
        </is>
      </c>
      <c r="D305" s="42" t="inlineStr">
        <is>
          <t>Офлайн-синхронизация</t>
        </is>
      </c>
      <c r="E305" s="43" t="n">
        <v>0.38</v>
      </c>
      <c r="F305" s="42" t="inlineStr">
        <is>
          <t>Да</t>
        </is>
      </c>
      <c r="G305" s="44">
        <f>IF(billInc&gt;0,ROUNDUP(tblLog[[#This Row],[Часы]]/billInc,0)*billInc,tblLog[[#This Row],[Часы]])</f>
        <v>0.5</v>
      </c>
      <c r="H305" s="45">
        <f>IFERROR(INDEX(tblRates[СтавкаКлиенту],MATCH(tblLog[[#This Row],[Сотрудник]],tblRates[Сотрудник],0)),0)</f>
        <v>2600</v>
      </c>
      <c r="I305" s="45">
        <f>IF(tblLog[[#This Row],[Оплачиваемо]]=yesFlag,ROUND(tblLog[[#This Row],[ЧасыКОплате]]*tblLog[[#This Row],[Ставка]],2),0)</f>
        <v>1300</v>
      </c>
      <c r="J305" s="45">
        <f>IFERROR(INDEX(tblRates[СтавкаСотруднику],MATCH(tblLog[[#This Row],[Сотрудник]],tblRates[Сотрудник],0)),0)</f>
        <v>1700</v>
      </c>
      <c r="K305" s="45">
        <f>ROUND(tblLog[[#This Row],[Часы]]*tblLog[[#This Row],[СтавкаЗП]],2)</f>
        <v>646</v>
      </c>
    </row>
    <row r="306">
      <c r="A306" s="41" t="n">
        <v>46289</v>
      </c>
      <c r="B306" s="42" t="inlineStr">
        <is>
          <t>Варга Тео</t>
        </is>
      </c>
      <c r="C306" s="42" t="inlineStr">
        <is>
          <t>Клиентский портал</t>
        </is>
      </c>
      <c r="D306" s="42" t="inlineStr">
        <is>
          <t>Выгрузка отчётов</t>
        </is>
      </c>
      <c r="E306" s="43" t="n">
        <v>2.32</v>
      </c>
      <c r="F306" s="42" t="inlineStr">
        <is>
          <t>Да</t>
        </is>
      </c>
      <c r="G306" s="44">
        <f>IF(billInc&gt;0,ROUNDUP(tblLog[[#This Row],[Часы]]/billInc,0)*billInc,tblLog[[#This Row],[Часы]])</f>
        <v>2.5</v>
      </c>
      <c r="H306" s="45">
        <f>IFERROR(INDEX(tblRates[СтавкаКлиенту],MATCH(tblLog[[#This Row],[Сотрудник]],tblRates[Сотрудник],0)),0)</f>
        <v>2600</v>
      </c>
      <c r="I306" s="45">
        <f>IF(tblLog[[#This Row],[Оплачиваемо]]=yesFlag,ROUND(tblLog[[#This Row],[ЧасыКОплате]]*tblLog[[#This Row],[Ставка]],2),0)</f>
        <v>6500</v>
      </c>
      <c r="J306" s="45">
        <f>IFERROR(INDEX(tblRates[СтавкаСотруднику],MATCH(tblLog[[#This Row],[Сотрудник]],tblRates[Сотрудник],0)),0)</f>
        <v>1700</v>
      </c>
      <c r="K306" s="45">
        <f>ROUND(tblLog[[#This Row],[Часы]]*tblLog[[#This Row],[СтавкаЗП]],2)</f>
        <v>3944</v>
      </c>
    </row>
    <row r="307">
      <c r="A307" s="41" t="n">
        <v>46289</v>
      </c>
      <c r="B307" s="42" t="inlineStr">
        <is>
          <t>Варга Тео</t>
        </is>
      </c>
      <c r="C307" s="42" t="inlineStr">
        <is>
          <t>Клиентский портал</t>
        </is>
      </c>
      <c r="D307" s="42" t="inlineStr">
        <is>
          <t>Авторизация и роли</t>
        </is>
      </c>
      <c r="E307" s="43" t="n">
        <v>4.08</v>
      </c>
      <c r="F307" s="42" t="inlineStr">
        <is>
          <t>Да</t>
        </is>
      </c>
      <c r="G307" s="44">
        <f>IF(billInc&gt;0,ROUNDUP(tblLog[[#This Row],[Часы]]/billInc,0)*billInc,tblLog[[#This Row],[Часы]])</f>
        <v>4.25</v>
      </c>
      <c r="H307" s="45">
        <f>IFERROR(INDEX(tblRates[СтавкаКлиенту],MATCH(tblLog[[#This Row],[Сотрудник]],tblRates[Сотрудник],0)),0)</f>
        <v>2600</v>
      </c>
      <c r="I307" s="45">
        <f>IF(tblLog[[#This Row],[Оплачиваемо]]=yesFlag,ROUND(tblLog[[#This Row],[ЧасыКОплате]]*tblLog[[#This Row],[Ставка]],2),0)</f>
        <v>11050</v>
      </c>
      <c r="J307" s="45">
        <f>IFERROR(INDEX(tblRates[СтавкаСотруднику],MATCH(tblLog[[#This Row],[Сотрудник]],tblRates[Сотрудник],0)),0)</f>
        <v>1700</v>
      </c>
      <c r="K307" s="45">
        <f>ROUND(tblLog[[#This Row],[Часы]]*tblLog[[#This Row],[СтавкаЗП]],2)</f>
        <v>6936</v>
      </c>
    </row>
    <row r="308">
      <c r="A308" s="41" t="n">
        <v>46289</v>
      </c>
      <c r="B308" s="42" t="inlineStr">
        <is>
          <t>Варга Тео</t>
        </is>
      </c>
      <c r="C308" s="42" t="inlineStr">
        <is>
          <t>Мобильное приложение для цеха</t>
        </is>
      </c>
      <c r="D308" s="42" t="inlineStr">
        <is>
          <t>Офлайн-синхронизация</t>
        </is>
      </c>
      <c r="E308" s="43" t="n">
        <v>0.22</v>
      </c>
      <c r="F308" s="42" t="inlineStr">
        <is>
          <t>Да</t>
        </is>
      </c>
      <c r="G308" s="44">
        <f>IF(billInc&gt;0,ROUNDUP(tblLog[[#This Row],[Часы]]/billInc,0)*billInc,tblLog[[#This Row],[Часы]])</f>
        <v>0.25</v>
      </c>
      <c r="H308" s="45">
        <f>IFERROR(INDEX(tblRates[СтавкаКлиенту],MATCH(tblLog[[#This Row],[Сотрудник]],tblRates[Сотрудник],0)),0)</f>
        <v>2600</v>
      </c>
      <c r="I308" s="45">
        <f>IF(tblLog[[#This Row],[Оплачиваемо]]=yesFlag,ROUND(tblLog[[#This Row],[ЧасыКОплате]]*tblLog[[#This Row],[Ставка]],2),0)</f>
        <v>650</v>
      </c>
      <c r="J308" s="45">
        <f>IFERROR(INDEX(tblRates[СтавкаСотруднику],MATCH(tblLog[[#This Row],[Сотрудник]],tblRates[Сотрудник],0)),0)</f>
        <v>1700</v>
      </c>
      <c r="K308" s="45">
        <f>ROUND(tblLog[[#This Row],[Часы]]*tblLog[[#This Row],[СтавкаЗП]],2)</f>
        <v>374</v>
      </c>
    </row>
    <row r="309">
      <c r="A309" s="41" t="n">
        <v>46289</v>
      </c>
      <c r="B309" s="42" t="inlineStr">
        <is>
          <t>Окафор Инес</t>
        </is>
      </c>
      <c r="C309" s="42" t="inlineStr">
        <is>
          <t>Клиентский портал</t>
        </is>
      </c>
      <c r="D309" s="42" t="inlineStr">
        <is>
          <t>Код-ревью</t>
        </is>
      </c>
      <c r="E309" s="43" t="n">
        <v>3.15</v>
      </c>
      <c r="F309" s="42" t="inlineStr">
        <is>
          <t>Да</t>
        </is>
      </c>
      <c r="G309" s="44">
        <f>IF(billInc&gt;0,ROUNDUP(tblLog[[#This Row],[Часы]]/billInc,0)*billInc,tblLog[[#This Row],[Часы]])</f>
        <v>3.25</v>
      </c>
      <c r="H309" s="45">
        <f>IFERROR(INDEX(tblRates[СтавкаКлиенту],MATCH(tblLog[[#This Row],[Сотрудник]],tblRates[Сотрудник],0)),0)</f>
        <v>1900</v>
      </c>
      <c r="I309" s="45">
        <f>IF(tblLog[[#This Row],[Оплачиваемо]]=yesFlag,ROUND(tblLog[[#This Row],[ЧасыКОплате]]*tblLog[[#This Row],[Ставка]],2),0)</f>
        <v>6175</v>
      </c>
      <c r="J309" s="45">
        <f>IFERROR(INDEX(tblRates[СтавкаСотруднику],MATCH(tblLog[[#This Row],[Сотрудник]],tblRates[Сотрудник],0)),0)</f>
        <v>1200</v>
      </c>
      <c r="K309" s="45">
        <f>ROUND(tblLog[[#This Row],[Часы]]*tblLog[[#This Row],[СтавкаЗП]],2)</f>
        <v>3780</v>
      </c>
    </row>
    <row r="310">
      <c r="A310" s="41" t="n">
        <v>46289</v>
      </c>
      <c r="B310" s="42" t="inlineStr">
        <is>
          <t>Окафор Инес</t>
        </is>
      </c>
      <c r="C310" s="42" t="inlineStr">
        <is>
          <t>Клиентский портал</t>
        </is>
      </c>
      <c r="D310" s="42" t="inlineStr">
        <is>
          <t>Код-ревью</t>
        </is>
      </c>
      <c r="E310" s="43" t="n">
        <v>2.41</v>
      </c>
      <c r="F310" s="42" t="inlineStr">
        <is>
          <t>Да</t>
        </is>
      </c>
      <c r="G310" s="44">
        <f>IF(billInc&gt;0,ROUNDUP(tblLog[[#This Row],[Часы]]/billInc,0)*billInc,tblLog[[#This Row],[Часы]])</f>
        <v>2.5</v>
      </c>
      <c r="H310" s="45">
        <f>IFERROR(INDEX(tblRates[СтавкаКлиенту],MATCH(tblLog[[#This Row],[Сотрудник]],tblRates[Сотрудник],0)),0)</f>
        <v>1900</v>
      </c>
      <c r="I310" s="45">
        <f>IF(tblLog[[#This Row],[Оплачиваемо]]=yesFlag,ROUND(tblLog[[#This Row],[ЧасыКОплате]]*tblLog[[#This Row],[Ставка]],2),0)</f>
        <v>4750</v>
      </c>
      <c r="J310" s="45">
        <f>IFERROR(INDEX(tblRates[СтавкаСотруднику],MATCH(tblLog[[#This Row],[Сотрудник]],tblRates[Сотрудник],0)),0)</f>
        <v>1200</v>
      </c>
      <c r="K310" s="45">
        <f>ROUND(tblLog[[#This Row],[Часы]]*tblLog[[#This Row],[СтавкаЗП]],2)</f>
        <v>2892</v>
      </c>
    </row>
    <row r="311">
      <c r="A311" s="41" t="n">
        <v>46289</v>
      </c>
      <c r="B311" s="42" t="inlineStr">
        <is>
          <t>Окафор Инес</t>
        </is>
      </c>
      <c r="C311" s="42" t="inlineStr">
        <is>
          <t>Поддержка</t>
        </is>
      </c>
      <c r="D311" s="42" t="inlineStr">
        <is>
          <t>Созвон с клиентом</t>
        </is>
      </c>
      <c r="E311" s="43" t="n">
        <v>2.42</v>
      </c>
      <c r="F311" s="42" t="inlineStr">
        <is>
          <t>Да</t>
        </is>
      </c>
      <c r="G311" s="44">
        <f>IF(billInc&gt;0,ROUNDUP(tblLog[[#This Row],[Часы]]/billInc,0)*billInc,tblLog[[#This Row],[Часы]])</f>
        <v>2.5</v>
      </c>
      <c r="H311" s="45">
        <f>IFERROR(INDEX(tblRates[СтавкаКлиенту],MATCH(tblLog[[#This Row],[Сотрудник]],tblRates[Сотрудник],0)),0)</f>
        <v>1900</v>
      </c>
      <c r="I311" s="45">
        <f>IF(tblLog[[#This Row],[Оплачиваемо]]=yesFlag,ROUND(tblLog[[#This Row],[ЧасыКОплате]]*tblLog[[#This Row],[Ставка]],2),0)</f>
        <v>4750</v>
      </c>
      <c r="J311" s="45">
        <f>IFERROR(INDEX(tblRates[СтавкаСотруднику],MATCH(tblLog[[#This Row],[Сотрудник]],tblRates[Сотрудник],0)),0)</f>
        <v>1200</v>
      </c>
      <c r="K311" s="45">
        <f>ROUND(tblLog[[#This Row],[Часы]]*tblLog[[#This Row],[СтавкаЗП]],2)</f>
        <v>2904</v>
      </c>
    </row>
    <row r="312">
      <c r="A312" s="41" t="n">
        <v>46289</v>
      </c>
      <c r="B312" s="42" t="inlineStr">
        <is>
          <t>Сольберг Мира</t>
        </is>
      </c>
      <c r="C312" s="42" t="inlineStr">
        <is>
          <t>Клиентский портал</t>
        </is>
      </c>
      <c r="D312" s="42" t="inlineStr">
        <is>
          <t>Страница статуса заказа</t>
        </is>
      </c>
      <c r="E312" s="43" t="n">
        <v>0.64</v>
      </c>
      <c r="F312" s="42" t="inlineStr">
        <is>
          <t>Да</t>
        </is>
      </c>
      <c r="G312" s="44">
        <f>IF(billInc&gt;0,ROUNDUP(tblLog[[#This Row],[Часы]]/billInc,0)*billInc,tblLog[[#This Row],[Часы]])</f>
        <v>0.75</v>
      </c>
      <c r="H312" s="45">
        <f>IFERROR(INDEX(tblRates[СтавкаКлиенту],MATCH(tblLog[[#This Row],[Сотрудник]],tblRates[Сотрудник],0)),0)</f>
        <v>3500</v>
      </c>
      <c r="I312" s="45">
        <f>IF(tblLog[[#This Row],[Оплачиваемо]]=yesFlag,ROUND(tblLog[[#This Row],[ЧасыКОплате]]*tblLog[[#This Row],[Ставка]],2),0)</f>
        <v>2625</v>
      </c>
      <c r="J312" s="45">
        <f>IFERROR(INDEX(tblRates[СтавкаСотруднику],MATCH(tblLog[[#This Row],[Сотрудник]],tblRates[Сотрудник],0)),0)</f>
        <v>2400</v>
      </c>
      <c r="K312" s="45">
        <f>ROUND(tblLog[[#This Row],[Часы]]*tblLog[[#This Row],[СтавкаЗП]],2)</f>
        <v>1536</v>
      </c>
    </row>
    <row r="313">
      <c r="A313" s="41" t="n">
        <v>46289</v>
      </c>
      <c r="B313" s="42" t="inlineStr">
        <is>
          <t>Сольберг Мира</t>
        </is>
      </c>
      <c r="C313" s="42" t="inlineStr">
        <is>
          <t>Клиентский портал</t>
        </is>
      </c>
      <c r="D313" s="42" t="inlineStr">
        <is>
          <t>Выгрузка отчётов</t>
        </is>
      </c>
      <c r="E313" s="43" t="n">
        <v>3.79</v>
      </c>
      <c r="F313" s="42" t="inlineStr">
        <is>
          <t>Да</t>
        </is>
      </c>
      <c r="G313" s="44">
        <f>IF(billInc&gt;0,ROUNDUP(tblLog[[#This Row],[Часы]]/billInc,0)*billInc,tblLog[[#This Row],[Часы]])</f>
        <v>4</v>
      </c>
      <c r="H313" s="45">
        <f>IFERROR(INDEX(tblRates[СтавкаКлиенту],MATCH(tblLog[[#This Row],[Сотрудник]],tblRates[Сотрудник],0)),0)</f>
        <v>3500</v>
      </c>
      <c r="I313" s="45">
        <f>IF(tblLog[[#This Row],[Оплачиваемо]]=yesFlag,ROUND(tblLog[[#This Row],[ЧасыКОплате]]*tblLog[[#This Row],[Ставка]],2),0)</f>
        <v>14000</v>
      </c>
      <c r="J313" s="45">
        <f>IFERROR(INDEX(tblRates[СтавкаСотруднику],MATCH(tblLog[[#This Row],[Сотрудник]],tblRates[Сотрудник],0)),0)</f>
        <v>2400</v>
      </c>
      <c r="K313" s="45">
        <f>ROUND(tblLog[[#This Row],[Часы]]*tblLog[[#This Row],[СтавкаЗП]],2)</f>
        <v>9096</v>
      </c>
    </row>
    <row r="314">
      <c r="A314" s="41" t="n">
        <v>46289</v>
      </c>
      <c r="B314" s="42" t="inlineStr">
        <is>
          <t>Сольберг Мира</t>
        </is>
      </c>
      <c r="C314" s="42" t="inlineStr">
        <is>
          <t>Клиентский портал</t>
        </is>
      </c>
      <c r="D314" s="42" t="inlineStr">
        <is>
          <t>Страница статуса заказа</t>
        </is>
      </c>
      <c r="E314" s="43" t="n">
        <v>3.22</v>
      </c>
      <c r="F314" s="42" t="inlineStr">
        <is>
          <t>Да</t>
        </is>
      </c>
      <c r="G314" s="44">
        <f>IF(billInc&gt;0,ROUNDUP(tblLog[[#This Row],[Часы]]/billInc,0)*billInc,tblLog[[#This Row],[Часы]])</f>
        <v>3.25</v>
      </c>
      <c r="H314" s="45">
        <f>IFERROR(INDEX(tblRates[СтавкаКлиенту],MATCH(tblLog[[#This Row],[Сотрудник]],tblRates[Сотрудник],0)),0)</f>
        <v>3500</v>
      </c>
      <c r="I314" s="45">
        <f>IF(tblLog[[#This Row],[Оплачиваемо]]=yesFlag,ROUND(tblLog[[#This Row],[ЧасыКОплате]]*tblLog[[#This Row],[Ставка]],2),0)</f>
        <v>11375</v>
      </c>
      <c r="J314" s="45">
        <f>IFERROR(INDEX(tblRates[СтавкаСотруднику],MATCH(tblLog[[#This Row],[Сотрудник]],tblRates[Сотрудник],0)),0)</f>
        <v>2400</v>
      </c>
      <c r="K314" s="45">
        <f>ROUND(tblLog[[#This Row],[Часы]]*tblLog[[#This Row],[СтавкаЗП]],2)</f>
        <v>7728</v>
      </c>
    </row>
    <row r="315">
      <c r="A315" s="41" t="n">
        <v>46289</v>
      </c>
      <c r="B315" s="42" t="inlineStr">
        <is>
          <t>Сольберг Мира</t>
        </is>
      </c>
      <c r="C315" s="42" t="inlineStr">
        <is>
          <t>Мобильное приложение для цеха</t>
        </is>
      </c>
      <c r="D315" s="42" t="inlineStr">
        <is>
          <t>Офлайн-синхронизация</t>
        </is>
      </c>
      <c r="E315" s="43" t="n">
        <v>0.35</v>
      </c>
      <c r="F315" s="42" t="inlineStr">
        <is>
          <t>Да</t>
        </is>
      </c>
      <c r="G315" s="44">
        <f>IF(billInc&gt;0,ROUNDUP(tblLog[[#This Row],[Часы]]/billInc,0)*billInc,tblLog[[#This Row],[Часы]])</f>
        <v>0.5</v>
      </c>
      <c r="H315" s="45">
        <f>IFERROR(INDEX(tblRates[СтавкаКлиенту],MATCH(tblLog[[#This Row],[Сотрудник]],tblRates[Сотрудник],0)),0)</f>
        <v>3500</v>
      </c>
      <c r="I315" s="45">
        <f>IF(tblLog[[#This Row],[Оплачиваемо]]=yesFlag,ROUND(tblLog[[#This Row],[ЧасыКОплате]]*tblLog[[#This Row],[Ставка]],2),0)</f>
        <v>1750</v>
      </c>
      <c r="J315" s="45">
        <f>IFERROR(INDEX(tblRates[СтавкаСотруднику],MATCH(tblLog[[#This Row],[Сотрудник]],tblRates[Сотрудник],0)),0)</f>
        <v>2400</v>
      </c>
      <c r="K315" s="45">
        <f>ROUND(tblLog[[#This Row],[Часы]]*tblLog[[#This Row],[СтавкаЗП]],2)</f>
        <v>840</v>
      </c>
    </row>
    <row r="316">
      <c r="A316" s="41" t="n">
        <v>46290</v>
      </c>
      <c r="B316" s="42" t="inlineStr">
        <is>
          <t>Бреннер Лука</t>
        </is>
      </c>
      <c r="C316" s="42" t="inlineStr">
        <is>
          <t>Клиентский портал</t>
        </is>
      </c>
      <c r="D316" s="42" t="inlineStr">
        <is>
          <t>Страница статуса заказа</t>
        </is>
      </c>
      <c r="E316" s="43" t="n">
        <v>2.08</v>
      </c>
      <c r="F316" s="42" t="inlineStr">
        <is>
          <t>Да</t>
        </is>
      </c>
      <c r="G316" s="44">
        <f>IF(billInc&gt;0,ROUNDUP(tblLog[[#This Row],[Часы]]/billInc,0)*billInc,tblLog[[#This Row],[Часы]])</f>
        <v>2.25</v>
      </c>
      <c r="H316" s="45">
        <f>IFERROR(INDEX(tblRates[СтавкаКлиенту],MATCH(tblLog[[#This Row],[Сотрудник]],tblRates[Сотрудник],0)),0)</f>
        <v>2300</v>
      </c>
      <c r="I316" s="45">
        <f>IF(tblLog[[#This Row],[Оплачиваемо]]=yesFlag,ROUND(tblLog[[#This Row],[ЧасыКОплате]]*tblLog[[#This Row],[Ставка]],2),0)</f>
        <v>5175</v>
      </c>
      <c r="J316" s="45">
        <f>IFERROR(INDEX(tblRates[СтавкаСотруднику],MATCH(tblLog[[#This Row],[Сотрудник]],tblRates[Сотрудник],0)),0)</f>
        <v>1500</v>
      </c>
      <c r="K316" s="45">
        <f>ROUND(tblLog[[#This Row],[Часы]]*tblLog[[#This Row],[СтавкаЗП]],2)</f>
        <v>3120</v>
      </c>
    </row>
    <row r="317">
      <c r="A317" s="41" t="n">
        <v>46290</v>
      </c>
      <c r="B317" s="42" t="inlineStr">
        <is>
          <t>Бреннер Лука</t>
        </is>
      </c>
      <c r="C317" s="42" t="inlineStr">
        <is>
          <t>Мобильное приложение для цеха</t>
        </is>
      </c>
      <c r="D317" s="42" t="inlineStr">
        <is>
          <t>Офлайн-синхронизация</t>
        </is>
      </c>
      <c r="E317" s="43" t="n">
        <v>2.3</v>
      </c>
      <c r="F317" s="42" t="inlineStr">
        <is>
          <t>Да</t>
        </is>
      </c>
      <c r="G317" s="44">
        <f>IF(billInc&gt;0,ROUNDUP(tblLog[[#This Row],[Часы]]/billInc,0)*billInc,tblLog[[#This Row],[Часы]])</f>
        <v>2.5</v>
      </c>
      <c r="H317" s="45">
        <f>IFERROR(INDEX(tblRates[СтавкаКлиенту],MATCH(tblLog[[#This Row],[Сотрудник]],tblRates[Сотрудник],0)),0)</f>
        <v>2300</v>
      </c>
      <c r="I317" s="45">
        <f>IF(tblLog[[#This Row],[Оплачиваемо]]=yesFlag,ROUND(tblLog[[#This Row],[ЧасыКОплате]]*tblLog[[#This Row],[Ставка]],2),0)</f>
        <v>5750</v>
      </c>
      <c r="J317" s="45">
        <f>IFERROR(INDEX(tblRates[СтавкаСотруднику],MATCH(tblLog[[#This Row],[Сотрудник]],tblRates[Сотрудник],0)),0)</f>
        <v>1500</v>
      </c>
      <c r="K317" s="45">
        <f>ROUND(tblLog[[#This Row],[Часы]]*tblLog[[#This Row],[СтавкаЗП]],2)</f>
        <v>3450</v>
      </c>
    </row>
    <row r="318">
      <c r="A318" s="41" t="n">
        <v>46290</v>
      </c>
      <c r="B318" s="42" t="inlineStr">
        <is>
          <t>Бреннер Лука</t>
        </is>
      </c>
      <c r="C318" s="42" t="inlineStr">
        <is>
          <t>Клиентский портал</t>
        </is>
      </c>
      <c r="D318" s="42" t="inlineStr">
        <is>
          <t>Страница статуса заказа</t>
        </is>
      </c>
      <c r="E318" s="43" t="n">
        <v>2.62</v>
      </c>
      <c r="F318" s="42" t="inlineStr">
        <is>
          <t>Да</t>
        </is>
      </c>
      <c r="G318" s="44">
        <f>IF(billInc&gt;0,ROUNDUP(tblLog[[#This Row],[Часы]]/billInc,0)*billInc,tblLog[[#This Row],[Часы]])</f>
        <v>2.75</v>
      </c>
      <c r="H318" s="45">
        <f>IFERROR(INDEX(tblRates[СтавкаКлиенту],MATCH(tblLog[[#This Row],[Сотрудник]],tblRates[Сотрудник],0)),0)</f>
        <v>2300</v>
      </c>
      <c r="I318" s="45">
        <f>IF(tblLog[[#This Row],[Оплачиваемо]]=yesFlag,ROUND(tblLog[[#This Row],[ЧасыКОплате]]*tblLog[[#This Row],[Ставка]],2),0)</f>
        <v>6325</v>
      </c>
      <c r="J318" s="45">
        <f>IFERROR(INDEX(tblRates[СтавкаСотруднику],MATCH(tblLog[[#This Row],[Сотрудник]],tblRates[Сотрудник],0)),0)</f>
        <v>1500</v>
      </c>
      <c r="K318" s="45">
        <f>ROUND(tblLog[[#This Row],[Часы]]*tblLog[[#This Row],[СтавкаЗП]],2)</f>
        <v>3930</v>
      </c>
    </row>
    <row r="319">
      <c r="A319" s="41" t="n">
        <v>46290</v>
      </c>
      <c r="B319" s="42" t="inlineStr">
        <is>
          <t>Варга Тео</t>
        </is>
      </c>
      <c r="C319" s="42" t="inlineStr">
        <is>
          <t>Клиентский портал</t>
        </is>
      </c>
      <c r="D319" s="42" t="inlineStr">
        <is>
          <t>Страница статуса заказа</t>
        </is>
      </c>
      <c r="E319" s="43" t="n">
        <v>1.72</v>
      </c>
      <c r="F319" s="42" t="inlineStr">
        <is>
          <t>Да</t>
        </is>
      </c>
      <c r="G319" s="44">
        <f>IF(billInc&gt;0,ROUNDUP(tblLog[[#This Row],[Часы]]/billInc,0)*billInc,tblLog[[#This Row],[Часы]])</f>
        <v>1.75</v>
      </c>
      <c r="H319" s="45">
        <f>IFERROR(INDEX(tblRates[СтавкаКлиенту],MATCH(tblLog[[#This Row],[Сотрудник]],tblRates[Сотрудник],0)),0)</f>
        <v>2600</v>
      </c>
      <c r="I319" s="45">
        <f>IF(tblLog[[#This Row],[Оплачиваемо]]=yesFlag,ROUND(tblLog[[#This Row],[ЧасыКОплате]]*tblLog[[#This Row],[Ставка]],2),0)</f>
        <v>4550</v>
      </c>
      <c r="J319" s="45">
        <f>IFERROR(INDEX(tblRates[СтавкаСотруднику],MATCH(tblLog[[#This Row],[Сотрудник]],tblRates[Сотрудник],0)),0)</f>
        <v>1700</v>
      </c>
      <c r="K319" s="45">
        <f>ROUND(tblLog[[#This Row],[Часы]]*tblLog[[#This Row],[СтавкаЗП]],2)</f>
        <v>2924</v>
      </c>
    </row>
    <row r="320">
      <c r="A320" s="41" t="n">
        <v>46290</v>
      </c>
      <c r="B320" s="42" t="inlineStr">
        <is>
          <t>Варга Тео</t>
        </is>
      </c>
      <c r="C320" s="42" t="inlineStr">
        <is>
          <t>Клиентский портал</t>
        </is>
      </c>
      <c r="D320" s="42" t="inlineStr">
        <is>
          <t>Авторизация и роли</t>
        </is>
      </c>
      <c r="E320" s="43" t="n">
        <v>1.82</v>
      </c>
      <c r="F320" s="42" t="inlineStr">
        <is>
          <t>Да</t>
        </is>
      </c>
      <c r="G320" s="44">
        <f>IF(billInc&gt;0,ROUNDUP(tblLog[[#This Row],[Часы]]/billInc,0)*billInc,tblLog[[#This Row],[Часы]])</f>
        <v>2</v>
      </c>
      <c r="H320" s="45">
        <f>IFERROR(INDEX(tblRates[СтавкаКлиенту],MATCH(tblLog[[#This Row],[Сотрудник]],tblRates[Сотрудник],0)),0)</f>
        <v>2600</v>
      </c>
      <c r="I320" s="45">
        <f>IF(tblLog[[#This Row],[Оплачиваемо]]=yesFlag,ROUND(tblLog[[#This Row],[ЧасыКОплате]]*tblLog[[#This Row],[Ставка]],2),0)</f>
        <v>5200</v>
      </c>
      <c r="J320" s="45">
        <f>IFERROR(INDEX(tblRates[СтавкаСотруднику],MATCH(tblLog[[#This Row],[Сотрудник]],tblRates[Сотрудник],0)),0)</f>
        <v>1700</v>
      </c>
      <c r="K320" s="45">
        <f>ROUND(tblLog[[#This Row],[Часы]]*tblLog[[#This Row],[СтавкаЗП]],2)</f>
        <v>3094</v>
      </c>
    </row>
    <row r="321">
      <c r="A321" s="41" t="n">
        <v>46290</v>
      </c>
      <c r="B321" s="42" t="inlineStr">
        <is>
          <t>Варга Тео</t>
        </is>
      </c>
      <c r="C321" s="42" t="inlineStr">
        <is>
          <t>Клиентский портал</t>
        </is>
      </c>
      <c r="D321" s="42" t="inlineStr">
        <is>
          <t>Авторизация и роли</t>
        </is>
      </c>
      <c r="E321" s="43" t="n">
        <v>2.46</v>
      </c>
      <c r="F321" s="42" t="inlineStr">
        <is>
          <t>Да</t>
        </is>
      </c>
      <c r="G321" s="44">
        <f>IF(billInc&gt;0,ROUNDUP(tblLog[[#This Row],[Часы]]/billInc,0)*billInc,tblLog[[#This Row],[Часы]])</f>
        <v>2.5</v>
      </c>
      <c r="H321" s="45">
        <f>IFERROR(INDEX(tblRates[СтавкаКлиенту],MATCH(tblLog[[#This Row],[Сотрудник]],tblRates[Сотрудник],0)),0)</f>
        <v>2600</v>
      </c>
      <c r="I321" s="45">
        <f>IF(tblLog[[#This Row],[Оплачиваемо]]=yesFlag,ROUND(tblLog[[#This Row],[ЧасыКОплате]]*tblLog[[#This Row],[Ставка]],2),0)</f>
        <v>6500</v>
      </c>
      <c r="J321" s="45">
        <f>IFERROR(INDEX(tblRates[СтавкаСотруднику],MATCH(tblLog[[#This Row],[Сотрудник]],tblRates[Сотрудник],0)),0)</f>
        <v>1700</v>
      </c>
      <c r="K321" s="45">
        <f>ROUND(tblLog[[#This Row],[Часы]]*tblLog[[#This Row],[СтавкаЗП]],2)</f>
        <v>4182</v>
      </c>
    </row>
    <row r="322">
      <c r="A322" s="41" t="n">
        <v>46290</v>
      </c>
      <c r="B322" s="42" t="inlineStr">
        <is>
          <t>Окафор Инес</t>
        </is>
      </c>
      <c r="C322" s="42" t="inlineStr">
        <is>
          <t>Мобильное приложение для цеха</t>
        </is>
      </c>
      <c r="D322" s="42" t="inlineStr">
        <is>
          <t>Сканирование штрихкодов</t>
        </is>
      </c>
      <c r="E322" s="43" t="n">
        <v>4.05</v>
      </c>
      <c r="F322" s="42" t="inlineStr">
        <is>
          <t>Да</t>
        </is>
      </c>
      <c r="G322" s="44">
        <f>IF(billInc&gt;0,ROUNDUP(tblLog[[#This Row],[Часы]]/billInc,0)*billInc,tblLog[[#This Row],[Часы]])</f>
        <v>4.25</v>
      </c>
      <c r="H322" s="45">
        <f>IFERROR(INDEX(tblRates[СтавкаКлиенту],MATCH(tblLog[[#This Row],[Сотрудник]],tblRates[Сотрудник],0)),0)</f>
        <v>1900</v>
      </c>
      <c r="I322" s="45">
        <f>IF(tblLog[[#This Row],[Оплачиваемо]]=yesFlag,ROUND(tblLog[[#This Row],[ЧасыКОплате]]*tblLog[[#This Row],[Ставка]],2),0)</f>
        <v>8075</v>
      </c>
      <c r="J322" s="45">
        <f>IFERROR(INDEX(tblRates[СтавкаСотруднику],MATCH(tblLog[[#This Row],[Сотрудник]],tblRates[Сотрудник],0)),0)</f>
        <v>1200</v>
      </c>
      <c r="K322" s="45">
        <f>ROUND(tblLog[[#This Row],[Часы]]*tblLog[[#This Row],[СтавкаЗП]],2)</f>
        <v>4860</v>
      </c>
    </row>
    <row r="323">
      <c r="A323" s="41" t="n">
        <v>46290</v>
      </c>
      <c r="B323" s="42" t="inlineStr">
        <is>
          <t>Окафор Инес</t>
        </is>
      </c>
      <c r="C323" s="42" t="inlineStr">
        <is>
          <t>Клиентский портал</t>
        </is>
      </c>
      <c r="D323" s="42" t="inlineStr">
        <is>
          <t>Выгрузка отчётов</t>
        </is>
      </c>
      <c r="E323" s="43" t="n">
        <v>2.53</v>
      </c>
      <c r="F323" s="42" t="inlineStr">
        <is>
          <t>Да</t>
        </is>
      </c>
      <c r="G323" s="44">
        <f>IF(billInc&gt;0,ROUNDUP(tblLog[[#This Row],[Часы]]/billInc,0)*billInc,tblLog[[#This Row],[Часы]])</f>
        <v>2.75</v>
      </c>
      <c r="H323" s="45">
        <f>IFERROR(INDEX(tblRates[СтавкаКлиенту],MATCH(tblLog[[#This Row],[Сотрудник]],tblRates[Сотрудник],0)),0)</f>
        <v>1900</v>
      </c>
      <c r="I323" s="45">
        <f>IF(tblLog[[#This Row],[Оплачиваемо]]=yesFlag,ROUND(tblLog[[#This Row],[ЧасыКОплате]]*tblLog[[#This Row],[Ставка]],2),0)</f>
        <v>5225</v>
      </c>
      <c r="J323" s="45">
        <f>IFERROR(INDEX(tblRates[СтавкаСотруднику],MATCH(tblLog[[#This Row],[Сотрудник]],tblRates[Сотрудник],0)),0)</f>
        <v>1200</v>
      </c>
      <c r="K323" s="45">
        <f>ROUND(tblLog[[#This Row],[Часы]]*tblLog[[#This Row],[СтавкаЗП]],2)</f>
        <v>3036</v>
      </c>
    </row>
    <row r="324">
      <c r="A324" s="41" t="n">
        <v>46290</v>
      </c>
      <c r="B324" s="42" t="inlineStr">
        <is>
          <t>Окафор Инес</t>
        </is>
      </c>
      <c r="C324" s="42" t="inlineStr">
        <is>
          <t>Клиентский портал</t>
        </is>
      </c>
      <c r="D324" s="42" t="inlineStr">
        <is>
          <t>Выгрузка отчётов</t>
        </is>
      </c>
      <c r="E324" s="43" t="n">
        <v>1.42</v>
      </c>
      <c r="F324" s="42" t="inlineStr">
        <is>
          <t>Да</t>
        </is>
      </c>
      <c r="G324" s="44">
        <f>IF(billInc&gt;0,ROUNDUP(tblLog[[#This Row],[Часы]]/billInc,0)*billInc,tblLog[[#This Row],[Часы]])</f>
        <v>1.5</v>
      </c>
      <c r="H324" s="45">
        <f>IFERROR(INDEX(tblRates[СтавкаКлиенту],MATCH(tblLog[[#This Row],[Сотрудник]],tblRates[Сотрудник],0)),0)</f>
        <v>1900</v>
      </c>
      <c r="I324" s="45">
        <f>IF(tblLog[[#This Row],[Оплачиваемо]]=yesFlag,ROUND(tblLog[[#This Row],[ЧасыКОплате]]*tblLog[[#This Row],[Ставка]],2),0)</f>
        <v>2850</v>
      </c>
      <c r="J324" s="45">
        <f>IFERROR(INDEX(tblRates[СтавкаСотруднику],MATCH(tblLog[[#This Row],[Сотрудник]],tblRates[Сотрудник],0)),0)</f>
        <v>1200</v>
      </c>
      <c r="K324" s="45">
        <f>ROUND(tblLog[[#This Row],[Часы]]*tblLog[[#This Row],[СтавкаЗП]],2)</f>
        <v>1704</v>
      </c>
    </row>
    <row r="325">
      <c r="A325" s="41" t="n">
        <v>46290</v>
      </c>
      <c r="B325" s="42" t="inlineStr">
        <is>
          <t>Сольберг Мира</t>
        </is>
      </c>
      <c r="C325" s="42" t="inlineStr">
        <is>
          <t>Поддержка</t>
        </is>
      </c>
      <c r="D325" s="42" t="inlineStr">
        <is>
          <t>Исправление ошибок</t>
        </is>
      </c>
      <c r="E325" s="43" t="n">
        <v>4.18</v>
      </c>
      <c r="F325" s="42" t="inlineStr">
        <is>
          <t>Да</t>
        </is>
      </c>
      <c r="G325" s="44">
        <f>IF(billInc&gt;0,ROUNDUP(tblLog[[#This Row],[Часы]]/billInc,0)*billInc,tblLog[[#This Row],[Часы]])</f>
        <v>4.25</v>
      </c>
      <c r="H325" s="45">
        <f>IFERROR(INDEX(tblRates[СтавкаКлиенту],MATCH(tblLog[[#This Row],[Сотрудник]],tblRates[Сотрудник],0)),0)</f>
        <v>3500</v>
      </c>
      <c r="I325" s="45">
        <f>IF(tblLog[[#This Row],[Оплачиваемо]]=yesFlag,ROUND(tblLog[[#This Row],[ЧасыКОплате]]*tblLog[[#This Row],[Ставка]],2),0)</f>
        <v>14875</v>
      </c>
      <c r="J325" s="45">
        <f>IFERROR(INDEX(tblRates[СтавкаСотруднику],MATCH(tblLog[[#This Row],[Сотрудник]],tblRates[Сотрудник],0)),0)</f>
        <v>2400</v>
      </c>
      <c r="K325" s="45">
        <f>ROUND(tblLog[[#This Row],[Часы]]*tblLog[[#This Row],[СтавкаЗП]],2)</f>
        <v>10032</v>
      </c>
    </row>
    <row r="326">
      <c r="A326" s="41" t="n">
        <v>46290</v>
      </c>
      <c r="B326" s="42" t="inlineStr">
        <is>
          <t>Сольберг Мира</t>
        </is>
      </c>
      <c r="C326" s="42" t="inlineStr">
        <is>
          <t>Клиентский портал</t>
        </is>
      </c>
      <c r="D326" s="42" t="inlineStr">
        <is>
          <t>Выгрузка отчётов</t>
        </is>
      </c>
      <c r="E326" s="43" t="n">
        <v>2.98</v>
      </c>
      <c r="F326" s="42" t="inlineStr">
        <is>
          <t>Да</t>
        </is>
      </c>
      <c r="G326" s="44">
        <f>IF(billInc&gt;0,ROUNDUP(tblLog[[#This Row],[Часы]]/billInc,0)*billInc,tblLog[[#This Row],[Часы]])</f>
        <v>3</v>
      </c>
      <c r="H326" s="45">
        <f>IFERROR(INDEX(tblRates[СтавкаКлиенту],MATCH(tblLog[[#This Row],[Сотрудник]],tblRates[Сотрудник],0)),0)</f>
        <v>3500</v>
      </c>
      <c r="I326" s="45">
        <f>IF(tblLog[[#This Row],[Оплачиваемо]]=yesFlag,ROUND(tblLog[[#This Row],[ЧасыКОплате]]*tblLog[[#This Row],[Ставка]],2),0)</f>
        <v>10500</v>
      </c>
      <c r="J326" s="45">
        <f>IFERROR(INDEX(tblRates[СтавкаСотруднику],MATCH(tblLog[[#This Row],[Сотрудник]],tblRates[Сотрудник],0)),0)</f>
        <v>2400</v>
      </c>
      <c r="K326" s="45">
        <f>ROUND(tblLog[[#This Row],[Часы]]*tblLog[[#This Row],[СтавкаЗП]],2)</f>
        <v>7152</v>
      </c>
    </row>
    <row r="327">
      <c r="A327" s="41" t="n">
        <v>46290</v>
      </c>
      <c r="B327" s="42" t="inlineStr">
        <is>
          <t>Сольберг Мира</t>
        </is>
      </c>
      <c r="C327" s="42" t="inlineStr">
        <is>
          <t>Мобильное приложение для цеха</t>
        </is>
      </c>
      <c r="D327" s="42" t="inlineStr">
        <is>
          <t>Push-уведомления</t>
        </is>
      </c>
      <c r="E327" s="43" t="n">
        <v>1.34</v>
      </c>
      <c r="F327" s="42" t="inlineStr">
        <is>
          <t>Да</t>
        </is>
      </c>
      <c r="G327" s="44">
        <f>IF(billInc&gt;0,ROUNDUP(tblLog[[#This Row],[Часы]]/billInc,0)*billInc,tblLog[[#This Row],[Часы]])</f>
        <v>1.5</v>
      </c>
      <c r="H327" s="45">
        <f>IFERROR(INDEX(tblRates[СтавкаКлиенту],MATCH(tblLog[[#This Row],[Сотрудник]],tblRates[Сотрудник],0)),0)</f>
        <v>3500</v>
      </c>
      <c r="I327" s="45">
        <f>IF(tblLog[[#This Row],[Оплачиваемо]]=yesFlag,ROUND(tblLog[[#This Row],[ЧасыКОплате]]*tblLog[[#This Row],[Ставка]],2),0)</f>
        <v>5250</v>
      </c>
      <c r="J327" s="45">
        <f>IFERROR(INDEX(tblRates[СтавкаСотруднику],MATCH(tblLog[[#This Row],[Сотрудник]],tblRates[Сотрудник],0)),0)</f>
        <v>2400</v>
      </c>
      <c r="K327" s="45">
        <f>ROUND(tblLog[[#This Row],[Часы]]*tblLog[[#This Row],[СтавкаЗП]],2)</f>
        <v>3216</v>
      </c>
    </row>
    <row r="328">
      <c r="A328" s="41" t="n">
        <v>46293</v>
      </c>
      <c r="B328" s="42" t="inlineStr">
        <is>
          <t>Бреннер Лука</t>
        </is>
      </c>
      <c r="C328" s="42" t="inlineStr">
        <is>
          <t>Мобильное приложение для цеха</t>
        </is>
      </c>
      <c r="D328" s="42" t="inlineStr">
        <is>
          <t>Офлайн-синхронизация</t>
        </is>
      </c>
      <c r="E328" s="43" t="n">
        <v>2.05</v>
      </c>
      <c r="F328" s="42" t="inlineStr">
        <is>
          <t>Да</t>
        </is>
      </c>
      <c r="G328" s="44">
        <f>IF(billInc&gt;0,ROUNDUP(tblLog[[#This Row],[Часы]]/billInc,0)*billInc,tblLog[[#This Row],[Часы]])</f>
        <v>2.25</v>
      </c>
      <c r="H328" s="45">
        <f>IFERROR(INDEX(tblRates[СтавкаКлиенту],MATCH(tblLog[[#This Row],[Сотрудник]],tblRates[Сотрудник],0)),0)</f>
        <v>2300</v>
      </c>
      <c r="I328" s="45">
        <f>IF(tblLog[[#This Row],[Оплачиваемо]]=yesFlag,ROUND(tblLog[[#This Row],[ЧасыКОплате]]*tblLog[[#This Row],[Ставка]],2),0)</f>
        <v>5175</v>
      </c>
      <c r="J328" s="45">
        <f>IFERROR(INDEX(tblRates[СтавкаСотруднику],MATCH(tblLog[[#This Row],[Сотрудник]],tblRates[Сотрудник],0)),0)</f>
        <v>1500</v>
      </c>
      <c r="K328" s="45">
        <f>ROUND(tblLog[[#This Row],[Часы]]*tblLog[[#This Row],[СтавкаЗП]],2)</f>
        <v>3075</v>
      </c>
    </row>
    <row r="329">
      <c r="A329" s="41" t="n">
        <v>46293</v>
      </c>
      <c r="B329" s="42" t="inlineStr">
        <is>
          <t>Бреннер Лука</t>
        </is>
      </c>
      <c r="C329" s="42" t="inlineStr">
        <is>
          <t>Мобильное приложение для цеха</t>
        </is>
      </c>
      <c r="D329" s="42" t="inlineStr">
        <is>
          <t>Офлайн-синхронизация</t>
        </is>
      </c>
      <c r="E329" s="43" t="n">
        <v>2.93</v>
      </c>
      <c r="F329" s="42" t="inlineStr">
        <is>
          <t>Да</t>
        </is>
      </c>
      <c r="G329" s="44">
        <f>IF(billInc&gt;0,ROUNDUP(tblLog[[#This Row],[Часы]]/billInc,0)*billInc,tblLog[[#This Row],[Часы]])</f>
        <v>3</v>
      </c>
      <c r="H329" s="45">
        <f>IFERROR(INDEX(tblRates[СтавкаКлиенту],MATCH(tblLog[[#This Row],[Сотрудник]],tblRates[Сотрудник],0)),0)</f>
        <v>2300</v>
      </c>
      <c r="I329" s="45">
        <f>IF(tblLog[[#This Row],[Оплачиваемо]]=yesFlag,ROUND(tblLog[[#This Row],[ЧасыКОплате]]*tblLog[[#This Row],[Ставка]],2),0)</f>
        <v>6900</v>
      </c>
      <c r="J329" s="45">
        <f>IFERROR(INDEX(tblRates[СтавкаСотруднику],MATCH(tblLog[[#This Row],[Сотрудник]],tblRates[Сотрудник],0)),0)</f>
        <v>1500</v>
      </c>
      <c r="K329" s="45">
        <f>ROUND(tblLog[[#This Row],[Часы]]*tblLog[[#This Row],[СтавкаЗП]],2)</f>
        <v>4395</v>
      </c>
    </row>
    <row r="330">
      <c r="A330" s="41" t="n">
        <v>46293</v>
      </c>
      <c r="B330" s="42" t="inlineStr">
        <is>
          <t>Бреннер Лука</t>
        </is>
      </c>
      <c r="C330" s="42" t="inlineStr">
        <is>
          <t>Мобильное приложение для цеха</t>
        </is>
      </c>
      <c r="D330" s="42" t="inlineStr">
        <is>
          <t>Сканирование штрихкодов</t>
        </is>
      </c>
      <c r="E330" s="43" t="n">
        <v>1.24</v>
      </c>
      <c r="F330" s="42" t="inlineStr">
        <is>
          <t>Да</t>
        </is>
      </c>
      <c r="G330" s="44">
        <f>IF(billInc&gt;0,ROUNDUP(tblLog[[#This Row],[Часы]]/billInc,0)*billInc,tblLog[[#This Row],[Часы]])</f>
        <v>1.25</v>
      </c>
      <c r="H330" s="45">
        <f>IFERROR(INDEX(tblRates[СтавкаКлиенту],MATCH(tblLog[[#This Row],[Сотрудник]],tblRates[Сотрудник],0)),0)</f>
        <v>2300</v>
      </c>
      <c r="I330" s="45">
        <f>IF(tblLog[[#This Row],[Оплачиваемо]]=yesFlag,ROUND(tblLog[[#This Row],[ЧасыКОплате]]*tblLog[[#This Row],[Ставка]],2),0)</f>
        <v>2875</v>
      </c>
      <c r="J330" s="45">
        <f>IFERROR(INDEX(tblRates[СтавкаСотруднику],MATCH(tblLog[[#This Row],[Сотрудник]],tblRates[Сотрудник],0)),0)</f>
        <v>1500</v>
      </c>
      <c r="K330" s="45">
        <f>ROUND(tblLog[[#This Row],[Часы]]*tblLog[[#This Row],[СтавкаЗП]],2)</f>
        <v>1860</v>
      </c>
    </row>
    <row r="331">
      <c r="A331" s="41" t="n">
        <v>46293</v>
      </c>
      <c r="B331" s="42" t="inlineStr">
        <is>
          <t>Бреннер Лука</t>
        </is>
      </c>
      <c r="C331" s="42" t="inlineStr">
        <is>
          <t>Клиентский портал</t>
        </is>
      </c>
      <c r="D331" s="42" t="inlineStr">
        <is>
          <t>Авторизация и роли</t>
        </is>
      </c>
      <c r="E331" s="43" t="n">
        <v>1.03</v>
      </c>
      <c r="F331" s="42" t="inlineStr">
        <is>
          <t>Да</t>
        </is>
      </c>
      <c r="G331" s="44">
        <f>IF(billInc&gt;0,ROUNDUP(tblLog[[#This Row],[Часы]]/billInc,0)*billInc,tblLog[[#This Row],[Часы]])</f>
        <v>1.25</v>
      </c>
      <c r="H331" s="45">
        <f>IFERROR(INDEX(tblRates[СтавкаКлиенту],MATCH(tblLog[[#This Row],[Сотрудник]],tblRates[Сотрудник],0)),0)</f>
        <v>2300</v>
      </c>
      <c r="I331" s="45">
        <f>IF(tblLog[[#This Row],[Оплачиваемо]]=yesFlag,ROUND(tblLog[[#This Row],[ЧасыКОплате]]*tblLog[[#This Row],[Ставка]],2),0)</f>
        <v>2875</v>
      </c>
      <c r="J331" s="45">
        <f>IFERROR(INDEX(tblRates[СтавкаСотруднику],MATCH(tblLog[[#This Row],[Сотрудник]],tblRates[Сотрудник],0)),0)</f>
        <v>1500</v>
      </c>
      <c r="K331" s="45">
        <f>ROUND(tblLog[[#This Row],[Часы]]*tblLog[[#This Row],[СтавкаЗП]],2)</f>
        <v>1545</v>
      </c>
    </row>
    <row r="332">
      <c r="A332" s="41" t="n">
        <v>46293</v>
      </c>
      <c r="B332" s="42" t="inlineStr">
        <is>
          <t>Бреннер Лука</t>
        </is>
      </c>
      <c r="C332" s="42" t="inlineStr">
        <is>
          <t>Мобильное приложение для цеха</t>
        </is>
      </c>
      <c r="D332" s="42" t="inlineStr">
        <is>
          <t>Сканирование штрихкодов</t>
        </is>
      </c>
      <c r="E332" s="43" t="n">
        <v>0.75</v>
      </c>
      <c r="F332" s="42" t="inlineStr">
        <is>
          <t>Да</t>
        </is>
      </c>
      <c r="G332" s="44">
        <f>IF(billInc&gt;0,ROUNDUP(tblLog[[#This Row],[Часы]]/billInc,0)*billInc,tblLog[[#This Row],[Часы]])</f>
        <v>0.75</v>
      </c>
      <c r="H332" s="45">
        <f>IFERROR(INDEX(tblRates[СтавкаКлиенту],MATCH(tblLog[[#This Row],[Сотрудник]],tblRates[Сотрудник],0)),0)</f>
        <v>2300</v>
      </c>
      <c r="I332" s="45">
        <f>IF(tblLog[[#This Row],[Оплачиваемо]]=yesFlag,ROUND(tblLog[[#This Row],[ЧасыКОплате]]*tblLog[[#This Row],[Ставка]],2),0)</f>
        <v>1725</v>
      </c>
      <c r="J332" s="45">
        <f>IFERROR(INDEX(tblRates[СтавкаСотруднику],MATCH(tblLog[[#This Row],[Сотрудник]],tblRates[Сотрудник],0)),0)</f>
        <v>1500</v>
      </c>
      <c r="K332" s="45">
        <f>ROUND(tblLog[[#This Row],[Часы]]*tblLog[[#This Row],[СтавкаЗП]],2)</f>
        <v>1125</v>
      </c>
    </row>
    <row r="333">
      <c r="A333" s="41" t="n">
        <v>46293</v>
      </c>
      <c r="B333" s="42" t="inlineStr">
        <is>
          <t>Варга Тео</t>
        </is>
      </c>
      <c r="C333" s="42" t="inlineStr">
        <is>
          <t>Клиентский портал</t>
        </is>
      </c>
      <c r="D333" s="42" t="inlineStr">
        <is>
          <t>Страница статуса заказа</t>
        </is>
      </c>
      <c r="E333" s="43" t="n">
        <v>1.96</v>
      </c>
      <c r="F333" s="42" t="inlineStr">
        <is>
          <t>Да</t>
        </is>
      </c>
      <c r="G333" s="44">
        <f>IF(billInc&gt;0,ROUNDUP(tblLog[[#This Row],[Часы]]/billInc,0)*billInc,tblLog[[#This Row],[Часы]])</f>
        <v>2</v>
      </c>
      <c r="H333" s="45">
        <f>IFERROR(INDEX(tblRates[СтавкаКлиенту],MATCH(tblLog[[#This Row],[Сотрудник]],tblRates[Сотрудник],0)),0)</f>
        <v>2600</v>
      </c>
      <c r="I333" s="45">
        <f>IF(tblLog[[#This Row],[Оплачиваемо]]=yesFlag,ROUND(tblLog[[#This Row],[ЧасыКОплате]]*tblLog[[#This Row],[Ставка]],2),0)</f>
        <v>5200</v>
      </c>
      <c r="J333" s="45">
        <f>IFERROR(INDEX(tblRates[СтавкаСотруднику],MATCH(tblLog[[#This Row],[Сотрудник]],tblRates[Сотрудник],0)),0)</f>
        <v>1700</v>
      </c>
      <c r="K333" s="45">
        <f>ROUND(tblLog[[#This Row],[Часы]]*tblLog[[#This Row],[СтавкаЗП]],2)</f>
        <v>3332</v>
      </c>
    </row>
    <row r="334">
      <c r="A334" s="41" t="n">
        <v>46293</v>
      </c>
      <c r="B334" s="42" t="inlineStr">
        <is>
          <t>Варга Тео</t>
        </is>
      </c>
      <c r="C334" s="42" t="inlineStr">
        <is>
          <t>Клиентский портал</t>
        </is>
      </c>
      <c r="D334" s="42" t="inlineStr">
        <is>
          <t>Код-ревью</t>
        </is>
      </c>
      <c r="E334" s="43" t="n">
        <v>0.67</v>
      </c>
      <c r="F334" s="42" t="inlineStr">
        <is>
          <t>Да</t>
        </is>
      </c>
      <c r="G334" s="44">
        <f>IF(billInc&gt;0,ROUNDUP(tblLog[[#This Row],[Часы]]/billInc,0)*billInc,tblLog[[#This Row],[Часы]])</f>
        <v>0.75</v>
      </c>
      <c r="H334" s="45">
        <f>IFERROR(INDEX(tblRates[СтавкаКлиенту],MATCH(tblLog[[#This Row],[Сотрудник]],tblRates[Сотрудник],0)),0)</f>
        <v>2600</v>
      </c>
      <c r="I334" s="45">
        <f>IF(tblLog[[#This Row],[Оплачиваемо]]=yesFlag,ROUND(tblLog[[#This Row],[ЧасыКОплате]]*tblLog[[#This Row],[Ставка]],2),0)</f>
        <v>1950</v>
      </c>
      <c r="J334" s="45">
        <f>IFERROR(INDEX(tblRates[СтавкаСотруднику],MATCH(tblLog[[#This Row],[Сотрудник]],tblRates[Сотрудник],0)),0)</f>
        <v>1700</v>
      </c>
      <c r="K334" s="45">
        <f>ROUND(tblLog[[#This Row],[Часы]]*tblLog[[#This Row],[СтавкаЗП]],2)</f>
        <v>1139</v>
      </c>
    </row>
    <row r="335">
      <c r="A335" s="41" t="n">
        <v>46293</v>
      </c>
      <c r="B335" s="42" t="inlineStr">
        <is>
          <t>Варга Тео</t>
        </is>
      </c>
      <c r="C335" s="42" t="inlineStr">
        <is>
          <t>Клиентский портал</t>
        </is>
      </c>
      <c r="D335" s="42" t="inlineStr">
        <is>
          <t>Выгрузка отчётов</t>
        </is>
      </c>
      <c r="E335" s="43" t="n">
        <v>2.17</v>
      </c>
      <c r="F335" s="42" t="inlineStr">
        <is>
          <t>Да</t>
        </is>
      </c>
      <c r="G335" s="44">
        <f>IF(billInc&gt;0,ROUNDUP(tblLog[[#This Row],[Часы]]/billInc,0)*billInc,tblLog[[#This Row],[Часы]])</f>
        <v>2.25</v>
      </c>
      <c r="H335" s="45">
        <f>IFERROR(INDEX(tblRates[СтавкаКлиенту],MATCH(tblLog[[#This Row],[Сотрудник]],tblRates[Сотрудник],0)),0)</f>
        <v>2600</v>
      </c>
      <c r="I335" s="45">
        <f>IF(tblLog[[#This Row],[Оплачиваемо]]=yesFlag,ROUND(tblLog[[#This Row],[ЧасыКОплате]]*tblLog[[#This Row],[Ставка]],2),0)</f>
        <v>5850</v>
      </c>
      <c r="J335" s="45">
        <f>IFERROR(INDEX(tblRates[СтавкаСотруднику],MATCH(tblLog[[#This Row],[Сотрудник]],tblRates[Сотрудник],0)),0)</f>
        <v>1700</v>
      </c>
      <c r="K335" s="45">
        <f>ROUND(tblLog[[#This Row],[Часы]]*tblLog[[#This Row],[СтавкаЗП]],2)</f>
        <v>3689</v>
      </c>
    </row>
    <row r="336">
      <c r="A336" s="41" t="n">
        <v>46293</v>
      </c>
      <c r="B336" s="42" t="inlineStr">
        <is>
          <t>Варга Тео</t>
        </is>
      </c>
      <c r="C336" s="42" t="inlineStr">
        <is>
          <t>Клиентский портал</t>
        </is>
      </c>
      <c r="D336" s="42" t="inlineStr">
        <is>
          <t>Код-ревью</t>
        </is>
      </c>
      <c r="E336" s="43" t="n">
        <v>1.2</v>
      </c>
      <c r="F336" s="42" t="inlineStr">
        <is>
          <t>Да</t>
        </is>
      </c>
      <c r="G336" s="44">
        <f>IF(billInc&gt;0,ROUNDUP(tblLog[[#This Row],[Часы]]/billInc,0)*billInc,tblLog[[#This Row],[Часы]])</f>
        <v>1.25</v>
      </c>
      <c r="H336" s="45">
        <f>IFERROR(INDEX(tblRates[СтавкаКлиенту],MATCH(tblLog[[#This Row],[Сотрудник]],tblRates[Сотрудник],0)),0)</f>
        <v>2600</v>
      </c>
      <c r="I336" s="45">
        <f>IF(tblLog[[#This Row],[Оплачиваемо]]=yesFlag,ROUND(tblLog[[#This Row],[ЧасыКОплате]]*tblLog[[#This Row],[Ставка]],2),0)</f>
        <v>3250</v>
      </c>
      <c r="J336" s="45">
        <f>IFERROR(INDEX(tblRates[СтавкаСотруднику],MATCH(tblLog[[#This Row],[Сотрудник]],tblRates[Сотрудник],0)),0)</f>
        <v>1700</v>
      </c>
      <c r="K336" s="45">
        <f>ROUND(tblLog[[#This Row],[Часы]]*tblLog[[#This Row],[СтавкаЗП]],2)</f>
        <v>2040</v>
      </c>
    </row>
    <row r="337">
      <c r="A337" s="41" t="n">
        <v>46293</v>
      </c>
      <c r="B337" s="42" t="inlineStr">
        <is>
          <t>Окафор Инес</t>
        </is>
      </c>
      <c r="C337" s="42" t="inlineStr">
        <is>
          <t>Клиентский портал</t>
        </is>
      </c>
      <c r="D337" s="42" t="inlineStr">
        <is>
          <t>Авторизация и роли</t>
        </is>
      </c>
      <c r="E337" s="43" t="n">
        <v>1.86</v>
      </c>
      <c r="F337" s="42" t="inlineStr">
        <is>
          <t>Да</t>
        </is>
      </c>
      <c r="G337" s="44">
        <f>IF(billInc&gt;0,ROUNDUP(tblLog[[#This Row],[Часы]]/billInc,0)*billInc,tblLog[[#This Row],[Часы]])</f>
        <v>2</v>
      </c>
      <c r="H337" s="45">
        <f>IFERROR(INDEX(tblRates[СтавкаКлиенту],MATCH(tblLog[[#This Row],[Сотрудник]],tblRates[Сотрудник],0)),0)</f>
        <v>1900</v>
      </c>
      <c r="I337" s="45">
        <f>IF(tblLog[[#This Row],[Оплачиваемо]]=yesFlag,ROUND(tblLog[[#This Row],[ЧасыКОплате]]*tblLog[[#This Row],[Ставка]],2),0)</f>
        <v>3800</v>
      </c>
      <c r="J337" s="45">
        <f>IFERROR(INDEX(tblRates[СтавкаСотруднику],MATCH(tblLog[[#This Row],[Сотрудник]],tblRates[Сотрудник],0)),0)</f>
        <v>1200</v>
      </c>
      <c r="K337" s="45">
        <f>ROUND(tblLog[[#This Row],[Часы]]*tblLog[[#This Row],[СтавкаЗП]],2)</f>
        <v>2232</v>
      </c>
    </row>
    <row r="338">
      <c r="A338" s="41" t="n">
        <v>46293</v>
      </c>
      <c r="B338" s="42" t="inlineStr">
        <is>
          <t>Окафор Инес</t>
        </is>
      </c>
      <c r="C338" s="42" t="inlineStr">
        <is>
          <t>Клиентский портал</t>
        </is>
      </c>
      <c r="D338" s="42" t="inlineStr">
        <is>
          <t>Авторизация и роли</t>
        </is>
      </c>
      <c r="E338" s="43" t="n">
        <v>1.56</v>
      </c>
      <c r="F338" s="42" t="inlineStr">
        <is>
          <t>Да</t>
        </is>
      </c>
      <c r="G338" s="44">
        <f>IF(billInc&gt;0,ROUNDUP(tblLog[[#This Row],[Часы]]/billInc,0)*billInc,tblLog[[#This Row],[Часы]])</f>
        <v>1.75</v>
      </c>
      <c r="H338" s="45">
        <f>IFERROR(INDEX(tblRates[СтавкаКлиенту],MATCH(tblLog[[#This Row],[Сотрудник]],tblRates[Сотрудник],0)),0)</f>
        <v>1900</v>
      </c>
      <c r="I338" s="45">
        <f>IF(tblLog[[#This Row],[Оплачиваемо]]=yesFlag,ROUND(tblLog[[#This Row],[ЧасыКОплате]]*tblLog[[#This Row],[Ставка]],2),0)</f>
        <v>3325</v>
      </c>
      <c r="J338" s="45">
        <f>IFERROR(INDEX(tblRates[СтавкаСотруднику],MATCH(tblLog[[#This Row],[Сотрудник]],tblRates[Сотрудник],0)),0)</f>
        <v>1200</v>
      </c>
      <c r="K338" s="45">
        <f>ROUND(tblLog[[#This Row],[Часы]]*tblLog[[#This Row],[СтавкаЗП]],2)</f>
        <v>1872</v>
      </c>
    </row>
    <row r="339">
      <c r="A339" s="41" t="n">
        <v>46293</v>
      </c>
      <c r="B339" s="42" t="inlineStr">
        <is>
          <t>Окафор Инес</t>
        </is>
      </c>
      <c r="C339" s="42" t="inlineStr">
        <is>
          <t>Клиентский портал</t>
        </is>
      </c>
      <c r="D339" s="42" t="inlineStr">
        <is>
          <t>Код-ревью</t>
        </is>
      </c>
      <c r="E339" s="43" t="n">
        <v>2.67</v>
      </c>
      <c r="F339" s="42" t="inlineStr">
        <is>
          <t>Да</t>
        </is>
      </c>
      <c r="G339" s="44">
        <f>IF(billInc&gt;0,ROUNDUP(tblLog[[#This Row],[Часы]]/billInc,0)*billInc,tblLog[[#This Row],[Часы]])</f>
        <v>2.75</v>
      </c>
      <c r="H339" s="45">
        <f>IFERROR(INDEX(tblRates[СтавкаКлиенту],MATCH(tblLog[[#This Row],[Сотрудник]],tblRates[Сотрудник],0)),0)</f>
        <v>1900</v>
      </c>
      <c r="I339" s="45">
        <f>IF(tblLog[[#This Row],[Оплачиваемо]]=yesFlag,ROUND(tblLog[[#This Row],[ЧасыКОплате]]*tblLog[[#This Row],[Ставка]],2),0)</f>
        <v>5225</v>
      </c>
      <c r="J339" s="45">
        <f>IFERROR(INDEX(tblRates[СтавкаСотруднику],MATCH(tblLog[[#This Row],[Сотрудник]],tblRates[Сотрудник],0)),0)</f>
        <v>1200</v>
      </c>
      <c r="K339" s="45">
        <f>ROUND(tblLog[[#This Row],[Часы]]*tblLog[[#This Row],[СтавкаЗП]],2)</f>
        <v>3204</v>
      </c>
    </row>
    <row r="340">
      <c r="A340" s="41" t="n">
        <v>46293</v>
      </c>
      <c r="B340" s="42" t="inlineStr">
        <is>
          <t>Окафор Инес</t>
        </is>
      </c>
      <c r="C340" s="42" t="inlineStr">
        <is>
          <t>Клиентский портал</t>
        </is>
      </c>
      <c r="D340" s="42" t="inlineStr">
        <is>
          <t>Страница статуса заказа</t>
        </is>
      </c>
      <c r="E340" s="43" t="n">
        <v>1.09</v>
      </c>
      <c r="F340" s="42" t="inlineStr">
        <is>
          <t>Да</t>
        </is>
      </c>
      <c r="G340" s="44">
        <f>IF(billInc&gt;0,ROUNDUP(tblLog[[#This Row],[Часы]]/billInc,0)*billInc,tblLog[[#This Row],[Часы]])</f>
        <v>1.25</v>
      </c>
      <c r="H340" s="45">
        <f>IFERROR(INDEX(tblRates[СтавкаКлиенту],MATCH(tblLog[[#This Row],[Сотрудник]],tblRates[Сотрудник],0)),0)</f>
        <v>1900</v>
      </c>
      <c r="I340" s="45">
        <f>IF(tblLog[[#This Row],[Оплачиваемо]]=yesFlag,ROUND(tblLog[[#This Row],[ЧасыКОплате]]*tblLog[[#This Row],[Ставка]],2),0)</f>
        <v>2375</v>
      </c>
      <c r="J340" s="45">
        <f>IFERROR(INDEX(tblRates[СтавкаСотруднику],MATCH(tblLog[[#This Row],[Сотрудник]],tblRates[Сотрудник],0)),0)</f>
        <v>1200</v>
      </c>
      <c r="K340" s="45">
        <f>ROUND(tblLog[[#This Row],[Часы]]*tblLog[[#This Row],[СтавкаЗП]],2)</f>
        <v>1308</v>
      </c>
    </row>
    <row r="341">
      <c r="A341" s="41" t="n">
        <v>46293</v>
      </c>
      <c r="B341" s="42" t="inlineStr">
        <is>
          <t>Окафор Инес</t>
        </is>
      </c>
      <c r="C341" s="42" t="inlineStr">
        <is>
          <t>Клиентский портал</t>
        </is>
      </c>
      <c r="D341" s="42" t="inlineStr">
        <is>
          <t>Страница статуса заказа</t>
        </is>
      </c>
      <c r="E341" s="43" t="n">
        <v>0.32</v>
      </c>
      <c r="F341" s="42" t="inlineStr">
        <is>
          <t>Да</t>
        </is>
      </c>
      <c r="G341" s="44">
        <f>IF(billInc&gt;0,ROUNDUP(tblLog[[#This Row],[Часы]]/billInc,0)*billInc,tblLog[[#This Row],[Часы]])</f>
        <v>0.5</v>
      </c>
      <c r="H341" s="45">
        <f>IFERROR(INDEX(tblRates[СтавкаКлиенту],MATCH(tblLog[[#This Row],[Сотрудник]],tblRates[Сотрудник],0)),0)</f>
        <v>1900</v>
      </c>
      <c r="I341" s="45">
        <f>IF(tblLog[[#This Row],[Оплачиваемо]]=yesFlag,ROUND(tblLog[[#This Row],[ЧасыКОплате]]*tblLog[[#This Row],[Ставка]],2),0)</f>
        <v>950</v>
      </c>
      <c r="J341" s="45">
        <f>IFERROR(INDEX(tblRates[СтавкаСотруднику],MATCH(tblLog[[#This Row],[Сотрудник]],tblRates[Сотрудник],0)),0)</f>
        <v>1200</v>
      </c>
      <c r="K341" s="45">
        <f>ROUND(tblLog[[#This Row],[Часы]]*tblLog[[#This Row],[СтавкаЗП]],2)</f>
        <v>384</v>
      </c>
    </row>
    <row r="342">
      <c r="A342" s="41" t="n">
        <v>46293</v>
      </c>
      <c r="B342" s="42" t="inlineStr">
        <is>
          <t>Сольберг Мира</t>
        </is>
      </c>
      <c r="C342" s="42" t="inlineStr">
        <is>
          <t>Мобильное приложение для цеха</t>
        </is>
      </c>
      <c r="D342" s="42" t="inlineStr">
        <is>
          <t>Офлайн-синхронизация</t>
        </is>
      </c>
      <c r="E342" s="43" t="n">
        <v>0.31</v>
      </c>
      <c r="F342" s="42" t="inlineStr">
        <is>
          <t>Да</t>
        </is>
      </c>
      <c r="G342" s="44">
        <f>IF(billInc&gt;0,ROUNDUP(tblLog[[#This Row],[Часы]]/billInc,0)*billInc,tblLog[[#This Row],[Часы]])</f>
        <v>0.5</v>
      </c>
      <c r="H342" s="45">
        <f>IFERROR(INDEX(tblRates[СтавкаКлиенту],MATCH(tblLog[[#This Row],[Сотрудник]],tblRates[Сотрудник],0)),0)</f>
        <v>3500</v>
      </c>
      <c r="I342" s="45">
        <f>IF(tblLog[[#This Row],[Оплачиваемо]]=yesFlag,ROUND(tblLog[[#This Row],[ЧасыКОплате]]*tblLog[[#This Row],[Ставка]],2),0)</f>
        <v>1750</v>
      </c>
      <c r="J342" s="45">
        <f>IFERROR(INDEX(tblRates[СтавкаСотруднику],MATCH(tblLog[[#This Row],[Сотрудник]],tblRates[Сотрудник],0)),0)</f>
        <v>2400</v>
      </c>
      <c r="K342" s="45">
        <f>ROUND(tblLog[[#This Row],[Часы]]*tblLog[[#This Row],[СтавкаЗП]],2)</f>
        <v>744</v>
      </c>
    </row>
    <row r="343">
      <c r="A343" s="41" t="n">
        <v>46293</v>
      </c>
      <c r="B343" s="42" t="inlineStr">
        <is>
          <t>Сольберг Мира</t>
        </is>
      </c>
      <c r="C343" s="42" t="inlineStr">
        <is>
          <t>Поддержка</t>
        </is>
      </c>
      <c r="D343" s="42" t="inlineStr">
        <is>
          <t>Обновление сервера</t>
        </is>
      </c>
      <c r="E343" s="43" t="n">
        <v>0.98</v>
      </c>
      <c r="F343" s="42" t="inlineStr">
        <is>
          <t>Да</t>
        </is>
      </c>
      <c r="G343" s="44">
        <f>IF(billInc&gt;0,ROUNDUP(tblLog[[#This Row],[Часы]]/billInc,0)*billInc,tblLog[[#This Row],[Часы]])</f>
        <v>1</v>
      </c>
      <c r="H343" s="45">
        <f>IFERROR(INDEX(tblRates[СтавкаКлиенту],MATCH(tblLog[[#This Row],[Сотрудник]],tblRates[Сотрудник],0)),0)</f>
        <v>3500</v>
      </c>
      <c r="I343" s="45">
        <f>IF(tblLog[[#This Row],[Оплачиваемо]]=yesFlag,ROUND(tblLog[[#This Row],[ЧасыКОплате]]*tblLog[[#This Row],[Ставка]],2),0)</f>
        <v>3500</v>
      </c>
      <c r="J343" s="45">
        <f>IFERROR(INDEX(tblRates[СтавкаСотруднику],MATCH(tblLog[[#This Row],[Сотрудник]],tblRates[Сотрудник],0)),0)</f>
        <v>2400</v>
      </c>
      <c r="K343" s="45">
        <f>ROUND(tblLog[[#This Row],[Часы]]*tblLog[[#This Row],[СтавкаЗП]],2)</f>
        <v>2352</v>
      </c>
    </row>
    <row r="344">
      <c r="A344" s="41" t="n">
        <v>46293</v>
      </c>
      <c r="B344" s="42" t="inlineStr">
        <is>
          <t>Сольберг Мира</t>
        </is>
      </c>
      <c r="C344" s="42" t="inlineStr">
        <is>
          <t>Поддержка</t>
        </is>
      </c>
      <c r="D344" s="42" t="inlineStr">
        <is>
          <t>Исправление ошибок</t>
        </is>
      </c>
      <c r="E344" s="43" t="n">
        <v>2.87</v>
      </c>
      <c r="F344" s="42" t="inlineStr">
        <is>
          <t>Да</t>
        </is>
      </c>
      <c r="G344" s="44">
        <f>IF(billInc&gt;0,ROUNDUP(tblLog[[#This Row],[Часы]]/billInc,0)*billInc,tblLog[[#This Row],[Часы]])</f>
        <v>3</v>
      </c>
      <c r="H344" s="45">
        <f>IFERROR(INDEX(tblRates[СтавкаКлиенту],MATCH(tblLog[[#This Row],[Сотрудник]],tblRates[Сотрудник],0)),0)</f>
        <v>3500</v>
      </c>
      <c r="I344" s="45">
        <f>IF(tblLog[[#This Row],[Оплачиваемо]]=yesFlag,ROUND(tblLog[[#This Row],[ЧасыКОплате]]*tblLog[[#This Row],[Ставка]],2),0)</f>
        <v>10500</v>
      </c>
      <c r="J344" s="45">
        <f>IFERROR(INDEX(tblRates[СтавкаСотруднику],MATCH(tblLog[[#This Row],[Сотрудник]],tblRates[Сотрудник],0)),0)</f>
        <v>2400</v>
      </c>
      <c r="K344" s="45">
        <f>ROUND(tblLog[[#This Row],[Часы]]*tblLog[[#This Row],[СтавкаЗП]],2)</f>
        <v>6888</v>
      </c>
    </row>
    <row r="345">
      <c r="A345" s="41" t="n">
        <v>46293</v>
      </c>
      <c r="B345" s="42" t="inlineStr">
        <is>
          <t>Сольберг Мира</t>
        </is>
      </c>
      <c r="C345" s="42" t="inlineStr">
        <is>
          <t>Мобильное приложение для цеха</t>
        </is>
      </c>
      <c r="D345" s="42" t="inlineStr">
        <is>
          <t>Push-уведомления</t>
        </is>
      </c>
      <c r="E345" s="43" t="n">
        <v>4.18</v>
      </c>
      <c r="F345" s="42" t="inlineStr">
        <is>
          <t>Да</t>
        </is>
      </c>
      <c r="G345" s="44">
        <f>IF(billInc&gt;0,ROUNDUP(tblLog[[#This Row],[Часы]]/billInc,0)*billInc,tblLog[[#This Row],[Часы]])</f>
        <v>4.25</v>
      </c>
      <c r="H345" s="45">
        <f>IFERROR(INDEX(tblRates[СтавкаКлиенту],MATCH(tblLog[[#This Row],[Сотрудник]],tblRates[Сотрудник],0)),0)</f>
        <v>3500</v>
      </c>
      <c r="I345" s="45">
        <f>IF(tblLog[[#This Row],[Оплачиваемо]]=yesFlag,ROUND(tblLog[[#This Row],[ЧасыКОплате]]*tblLog[[#This Row],[Ставка]],2),0)</f>
        <v>14875</v>
      </c>
      <c r="J345" s="45">
        <f>IFERROR(INDEX(tblRates[СтавкаСотруднику],MATCH(tblLog[[#This Row],[Сотрудник]],tblRates[Сотрудник],0)),0)</f>
        <v>2400</v>
      </c>
      <c r="K345" s="45">
        <f>ROUND(tblLog[[#This Row],[Часы]]*tblLog[[#This Row],[СтавкаЗП]],2)</f>
        <v>10032</v>
      </c>
    </row>
    <row r="346">
      <c r="A346" s="41" t="n">
        <v>46294</v>
      </c>
      <c r="B346" s="42" t="inlineStr">
        <is>
          <t>Бреннер Лука</t>
        </is>
      </c>
      <c r="C346" s="42" t="inlineStr">
        <is>
          <t>Мобильное приложение для цеха</t>
        </is>
      </c>
      <c r="D346" s="42" t="inlineStr">
        <is>
          <t>Офлайн-синхронизация</t>
        </is>
      </c>
      <c r="E346" s="43" t="n">
        <v>2.23</v>
      </c>
      <c r="F346" s="42" t="inlineStr">
        <is>
          <t>Да</t>
        </is>
      </c>
      <c r="G346" s="44">
        <f>IF(billInc&gt;0,ROUNDUP(tblLog[[#This Row],[Часы]]/billInc,0)*billInc,tblLog[[#This Row],[Часы]])</f>
        <v>2.25</v>
      </c>
      <c r="H346" s="45">
        <f>IFERROR(INDEX(tblRates[СтавкаКлиенту],MATCH(tblLog[[#This Row],[Сотрудник]],tblRates[Сотрудник],0)),0)</f>
        <v>2300</v>
      </c>
      <c r="I346" s="45">
        <f>IF(tblLog[[#This Row],[Оплачиваемо]]=yesFlag,ROUND(tblLog[[#This Row],[ЧасыКОплате]]*tblLog[[#This Row],[Ставка]],2),0)</f>
        <v>5175</v>
      </c>
      <c r="J346" s="45">
        <f>IFERROR(INDEX(tblRates[СтавкаСотруднику],MATCH(tblLog[[#This Row],[Сотрудник]],tblRates[Сотрудник],0)),0)</f>
        <v>1500</v>
      </c>
      <c r="K346" s="45">
        <f>ROUND(tblLog[[#This Row],[Часы]]*tblLog[[#This Row],[СтавкаЗП]],2)</f>
        <v>3345</v>
      </c>
    </row>
    <row r="347">
      <c r="A347" s="41" t="n">
        <v>46294</v>
      </c>
      <c r="B347" s="42" t="inlineStr">
        <is>
          <t>Бреннер Лука</t>
        </is>
      </c>
      <c r="C347" s="42" t="inlineStr">
        <is>
          <t>Мобильное приложение для цеха</t>
        </is>
      </c>
      <c r="D347" s="42" t="inlineStr">
        <is>
          <t>Сканирование штрихкодов</t>
        </is>
      </c>
      <c r="E347" s="43" t="n">
        <v>3.91</v>
      </c>
      <c r="F347" s="42" t="inlineStr">
        <is>
          <t>Да</t>
        </is>
      </c>
      <c r="G347" s="44">
        <f>IF(billInc&gt;0,ROUNDUP(tblLog[[#This Row],[Часы]]/billInc,0)*billInc,tblLog[[#This Row],[Часы]])</f>
        <v>4</v>
      </c>
      <c r="H347" s="45">
        <f>IFERROR(INDEX(tblRates[СтавкаКлиенту],MATCH(tblLog[[#This Row],[Сотрудник]],tblRates[Сотрудник],0)),0)</f>
        <v>2300</v>
      </c>
      <c r="I347" s="45">
        <f>IF(tblLog[[#This Row],[Оплачиваемо]]=yesFlag,ROUND(tblLog[[#This Row],[ЧасыКОплате]]*tblLog[[#This Row],[Ставка]],2),0)</f>
        <v>9200</v>
      </c>
      <c r="J347" s="45">
        <f>IFERROR(INDEX(tblRates[СтавкаСотруднику],MATCH(tblLog[[#This Row],[Сотрудник]],tblRates[Сотрудник],0)),0)</f>
        <v>1500</v>
      </c>
      <c r="K347" s="45">
        <f>ROUND(tblLog[[#This Row],[Часы]]*tblLog[[#This Row],[СтавкаЗП]],2)</f>
        <v>5865</v>
      </c>
    </row>
    <row r="348">
      <c r="A348" s="41" t="n">
        <v>46294</v>
      </c>
      <c r="B348" s="42" t="inlineStr">
        <is>
          <t>Бреннер Лука</t>
        </is>
      </c>
      <c r="C348" s="42" t="inlineStr">
        <is>
          <t>Клиентский портал</t>
        </is>
      </c>
      <c r="D348" s="42" t="inlineStr">
        <is>
          <t>Выгрузка отчётов</t>
        </is>
      </c>
      <c r="E348" s="43" t="n">
        <v>0.8</v>
      </c>
      <c r="F348" s="42" t="inlineStr">
        <is>
          <t>Да</t>
        </is>
      </c>
      <c r="G348" s="44">
        <f>IF(billInc&gt;0,ROUNDUP(tblLog[[#This Row],[Часы]]/billInc,0)*billInc,tblLog[[#This Row],[Часы]])</f>
        <v>1</v>
      </c>
      <c r="H348" s="45">
        <f>IFERROR(INDEX(tblRates[СтавкаКлиенту],MATCH(tblLog[[#This Row],[Сотрудник]],tblRates[Сотрудник],0)),0)</f>
        <v>2300</v>
      </c>
      <c r="I348" s="45">
        <f>IF(tblLog[[#This Row],[Оплачиваемо]]=yesFlag,ROUND(tblLog[[#This Row],[ЧасыКОплате]]*tblLog[[#This Row],[Ставка]],2),0)</f>
        <v>2300</v>
      </c>
      <c r="J348" s="45">
        <f>IFERROR(INDEX(tblRates[СтавкаСотруднику],MATCH(tblLog[[#This Row],[Сотрудник]],tblRates[Сотрудник],0)),0)</f>
        <v>1500</v>
      </c>
      <c r="K348" s="45">
        <f>ROUND(tblLog[[#This Row],[Часы]]*tblLog[[#This Row],[СтавкаЗП]],2)</f>
        <v>1200</v>
      </c>
    </row>
    <row r="349">
      <c r="A349" s="41" t="n">
        <v>46294</v>
      </c>
      <c r="B349" s="42" t="inlineStr">
        <is>
          <t>Варга Тео</t>
        </is>
      </c>
      <c r="C349" s="42" t="inlineStr">
        <is>
          <t>Поддержка</t>
        </is>
      </c>
      <c r="D349" s="42" t="inlineStr">
        <is>
          <t>Обновление сервера</t>
        </is>
      </c>
      <c r="E349" s="43" t="n">
        <v>1.27</v>
      </c>
      <c r="F349" s="42" t="inlineStr">
        <is>
          <t>Нет</t>
        </is>
      </c>
      <c r="G349" s="44">
        <f>IF(billInc&gt;0,ROUNDUP(tblLog[[#This Row],[Часы]]/billInc,0)*billInc,tblLog[[#This Row],[Часы]])</f>
        <v>1.5</v>
      </c>
      <c r="H349" s="45">
        <f>IFERROR(INDEX(tblRates[СтавкаКлиенту],MATCH(tblLog[[#This Row],[Сотрудник]],tblRates[Сотрудник],0)),0)</f>
        <v>2600</v>
      </c>
      <c r="I349" s="45">
        <f>IF(tblLog[[#This Row],[Оплачиваемо]]=yesFlag,ROUND(tblLog[[#This Row],[ЧасыКОплате]]*tblLog[[#This Row],[Ставка]],2),0)</f>
        <v>0</v>
      </c>
      <c r="J349" s="45">
        <f>IFERROR(INDEX(tblRates[СтавкаСотруднику],MATCH(tblLog[[#This Row],[Сотрудник]],tblRates[Сотрудник],0)),0)</f>
        <v>1700</v>
      </c>
      <c r="K349" s="45">
        <f>ROUND(tblLog[[#This Row],[Часы]]*tblLog[[#This Row],[СтавкаЗП]],2)</f>
        <v>2159</v>
      </c>
    </row>
    <row r="350">
      <c r="A350" s="41" t="n">
        <v>46294</v>
      </c>
      <c r="B350" s="42" t="inlineStr">
        <is>
          <t>Варга Тео</t>
        </is>
      </c>
      <c r="C350" s="42" t="inlineStr">
        <is>
          <t>Клиентский портал</t>
        </is>
      </c>
      <c r="D350" s="42" t="inlineStr">
        <is>
          <t>Выгрузка отчётов</t>
        </is>
      </c>
      <c r="E350" s="43" t="n">
        <v>3.69</v>
      </c>
      <c r="F350" s="42" t="inlineStr">
        <is>
          <t>Да</t>
        </is>
      </c>
      <c r="G350" s="44">
        <f>IF(billInc&gt;0,ROUNDUP(tblLog[[#This Row],[Часы]]/billInc,0)*billInc,tblLog[[#This Row],[Часы]])</f>
        <v>3.75</v>
      </c>
      <c r="H350" s="45">
        <f>IFERROR(INDEX(tblRates[СтавкаКлиенту],MATCH(tblLog[[#This Row],[Сотрудник]],tblRates[Сотрудник],0)),0)</f>
        <v>2600</v>
      </c>
      <c r="I350" s="45">
        <f>IF(tblLog[[#This Row],[Оплачиваемо]]=yesFlag,ROUND(tblLog[[#This Row],[ЧасыКОплате]]*tblLog[[#This Row],[Ставка]],2),0)</f>
        <v>9750</v>
      </c>
      <c r="J350" s="45">
        <f>IFERROR(INDEX(tblRates[СтавкаСотруднику],MATCH(tblLog[[#This Row],[Сотрудник]],tblRates[Сотрудник],0)),0)</f>
        <v>1700</v>
      </c>
      <c r="K350" s="45">
        <f>ROUND(tblLog[[#This Row],[Часы]]*tblLog[[#This Row],[СтавкаЗП]],2)</f>
        <v>6273</v>
      </c>
    </row>
    <row r="351">
      <c r="A351" s="41" t="n">
        <v>46294</v>
      </c>
      <c r="B351" s="42" t="inlineStr">
        <is>
          <t>Варга Тео</t>
        </is>
      </c>
      <c r="C351" s="42" t="inlineStr">
        <is>
          <t>Клиентский портал</t>
        </is>
      </c>
      <c r="D351" s="42" t="inlineStr">
        <is>
          <t>Код-ревью</t>
        </is>
      </c>
      <c r="E351" s="43" t="n">
        <v>3.04</v>
      </c>
      <c r="F351" s="42" t="inlineStr">
        <is>
          <t>Нет</t>
        </is>
      </c>
      <c r="G351" s="44">
        <f>IF(billInc&gt;0,ROUNDUP(tblLog[[#This Row],[Часы]]/billInc,0)*billInc,tblLog[[#This Row],[Часы]])</f>
        <v>3.25</v>
      </c>
      <c r="H351" s="45">
        <f>IFERROR(INDEX(tblRates[СтавкаКлиенту],MATCH(tblLog[[#This Row],[Сотрудник]],tblRates[Сотрудник],0)),0)</f>
        <v>2600</v>
      </c>
      <c r="I351" s="45">
        <f>IF(tblLog[[#This Row],[Оплачиваемо]]=yesFlag,ROUND(tblLog[[#This Row],[ЧасыКОплате]]*tblLog[[#This Row],[Ставка]],2),0)</f>
        <v>0</v>
      </c>
      <c r="J351" s="45">
        <f>IFERROR(INDEX(tblRates[СтавкаСотруднику],MATCH(tblLog[[#This Row],[Сотрудник]],tblRates[Сотрудник],0)),0)</f>
        <v>1700</v>
      </c>
      <c r="K351" s="45">
        <f>ROUND(tblLog[[#This Row],[Часы]]*tblLog[[#This Row],[СтавкаЗП]],2)</f>
        <v>5168</v>
      </c>
    </row>
    <row r="352">
      <c r="A352" s="41" t="n">
        <v>46294</v>
      </c>
      <c r="B352" s="42" t="inlineStr">
        <is>
          <t>Окафор Инес</t>
        </is>
      </c>
      <c r="C352" s="42" t="inlineStr">
        <is>
          <t>Клиентский портал</t>
        </is>
      </c>
      <c r="D352" s="42" t="inlineStr">
        <is>
          <t>Страница статуса заказа</t>
        </is>
      </c>
      <c r="E352" s="43" t="n">
        <v>3.3</v>
      </c>
      <c r="F352" s="42" t="inlineStr">
        <is>
          <t>Да</t>
        </is>
      </c>
      <c r="G352" s="44">
        <f>IF(billInc&gt;0,ROUNDUP(tblLog[[#This Row],[Часы]]/billInc,0)*billInc,tblLog[[#This Row],[Часы]])</f>
        <v>3.5</v>
      </c>
      <c r="H352" s="45">
        <f>IFERROR(INDEX(tblRates[СтавкаКлиенту],MATCH(tblLog[[#This Row],[Сотрудник]],tblRates[Сотрудник],0)),0)</f>
        <v>1900</v>
      </c>
      <c r="I352" s="45">
        <f>IF(tblLog[[#This Row],[Оплачиваемо]]=yesFlag,ROUND(tblLog[[#This Row],[ЧасыКОплате]]*tblLog[[#This Row],[Ставка]],2),0)</f>
        <v>6650</v>
      </c>
      <c r="J352" s="45">
        <f>IFERROR(INDEX(tblRates[СтавкаСотруднику],MATCH(tblLog[[#This Row],[Сотрудник]],tblRates[Сотрудник],0)),0)</f>
        <v>1200</v>
      </c>
      <c r="K352" s="45">
        <f>ROUND(tblLog[[#This Row],[Часы]]*tblLog[[#This Row],[СтавкаЗП]],2)</f>
        <v>3960</v>
      </c>
    </row>
    <row r="353">
      <c r="A353" s="41" t="n">
        <v>46294</v>
      </c>
      <c r="B353" s="42" t="inlineStr">
        <is>
          <t>Окафор Инес</t>
        </is>
      </c>
      <c r="C353" s="42" t="inlineStr">
        <is>
          <t>Клиентский портал</t>
        </is>
      </c>
      <c r="D353" s="42" t="inlineStr">
        <is>
          <t>Выгрузка отчётов</t>
        </is>
      </c>
      <c r="E353" s="43" t="n">
        <v>1.13</v>
      </c>
      <c r="F353" s="42" t="inlineStr">
        <is>
          <t>Да</t>
        </is>
      </c>
      <c r="G353" s="44">
        <f>IF(billInc&gt;0,ROUNDUP(tblLog[[#This Row],[Часы]]/billInc,0)*billInc,tblLog[[#This Row],[Часы]])</f>
        <v>1.25</v>
      </c>
      <c r="H353" s="45">
        <f>IFERROR(INDEX(tblRates[СтавкаКлиенту],MATCH(tblLog[[#This Row],[Сотрудник]],tblRates[Сотрудник],0)),0)</f>
        <v>1900</v>
      </c>
      <c r="I353" s="45">
        <f>IF(tblLog[[#This Row],[Оплачиваемо]]=yesFlag,ROUND(tblLog[[#This Row],[ЧасыКОплате]]*tblLog[[#This Row],[Ставка]],2),0)</f>
        <v>2375</v>
      </c>
      <c r="J353" s="45">
        <f>IFERROR(INDEX(tblRates[СтавкаСотруднику],MATCH(tblLog[[#This Row],[Сотрудник]],tblRates[Сотрудник],0)),0)</f>
        <v>1200</v>
      </c>
      <c r="K353" s="45">
        <f>ROUND(tblLog[[#This Row],[Часы]]*tblLog[[#This Row],[СтавкаЗП]],2)</f>
        <v>1356</v>
      </c>
    </row>
    <row r="354">
      <c r="A354" s="41" t="n">
        <v>46294</v>
      </c>
      <c r="B354" s="42" t="inlineStr">
        <is>
          <t>Окафор Инес</t>
        </is>
      </c>
      <c r="C354" s="42" t="inlineStr">
        <is>
          <t>Мобильное приложение для цеха</t>
        </is>
      </c>
      <c r="D354" s="42" t="inlineStr">
        <is>
          <t>Сканирование штрихкодов</t>
        </is>
      </c>
      <c r="E354" s="43" t="n">
        <v>1.08</v>
      </c>
      <c r="F354" s="42" t="inlineStr">
        <is>
          <t>Да</t>
        </is>
      </c>
      <c r="G354" s="44">
        <f>IF(billInc&gt;0,ROUNDUP(tblLog[[#This Row],[Часы]]/billInc,0)*billInc,tblLog[[#This Row],[Часы]])</f>
        <v>1.25</v>
      </c>
      <c r="H354" s="45">
        <f>IFERROR(INDEX(tblRates[СтавкаКлиенту],MATCH(tblLog[[#This Row],[Сотрудник]],tblRates[Сотрудник],0)),0)</f>
        <v>1900</v>
      </c>
      <c r="I354" s="45">
        <f>IF(tblLog[[#This Row],[Оплачиваемо]]=yesFlag,ROUND(tblLog[[#This Row],[ЧасыКОплате]]*tblLog[[#This Row],[Ставка]],2),0)</f>
        <v>2375</v>
      </c>
      <c r="J354" s="45">
        <f>IFERROR(INDEX(tblRates[СтавкаСотруднику],MATCH(tblLog[[#This Row],[Сотрудник]],tblRates[Сотрудник],0)),0)</f>
        <v>1200</v>
      </c>
      <c r="K354" s="45">
        <f>ROUND(tblLog[[#This Row],[Часы]]*tblLog[[#This Row],[СтавкаЗП]],2)</f>
        <v>1296</v>
      </c>
    </row>
    <row r="355">
      <c r="A355" s="41" t="n">
        <v>46294</v>
      </c>
      <c r="B355" s="42" t="inlineStr">
        <is>
          <t>Окафор Инес</t>
        </is>
      </c>
      <c r="C355" s="42" t="inlineStr">
        <is>
          <t>Клиентский портал</t>
        </is>
      </c>
      <c r="D355" s="42" t="inlineStr">
        <is>
          <t>Код-ревью</t>
        </is>
      </c>
      <c r="E355" s="43" t="n">
        <v>1.99</v>
      </c>
      <c r="F355" s="42" t="inlineStr">
        <is>
          <t>Да</t>
        </is>
      </c>
      <c r="G355" s="44">
        <f>IF(billInc&gt;0,ROUNDUP(tblLog[[#This Row],[Часы]]/billInc,0)*billInc,tblLog[[#This Row],[Часы]])</f>
        <v>2</v>
      </c>
      <c r="H355" s="45">
        <f>IFERROR(INDEX(tblRates[СтавкаКлиенту],MATCH(tblLog[[#This Row],[Сотрудник]],tblRates[Сотрудник],0)),0)</f>
        <v>1900</v>
      </c>
      <c r="I355" s="45">
        <f>IF(tblLog[[#This Row],[Оплачиваемо]]=yesFlag,ROUND(tblLog[[#This Row],[ЧасыКОплате]]*tblLog[[#This Row],[Ставка]],2),0)</f>
        <v>3800</v>
      </c>
      <c r="J355" s="45">
        <f>IFERROR(INDEX(tblRates[СтавкаСотруднику],MATCH(tblLog[[#This Row],[Сотрудник]],tblRates[Сотрудник],0)),0)</f>
        <v>1200</v>
      </c>
      <c r="K355" s="45">
        <f>ROUND(tblLog[[#This Row],[Часы]]*tblLog[[#This Row],[СтавкаЗП]],2)</f>
        <v>2388</v>
      </c>
    </row>
    <row r="356">
      <c r="A356" s="41" t="n">
        <v>46294</v>
      </c>
      <c r="B356" s="42" t="inlineStr">
        <is>
          <t>Сольберг Мира</t>
        </is>
      </c>
      <c r="C356" s="42" t="inlineStr">
        <is>
          <t>Клиентский портал</t>
        </is>
      </c>
      <c r="D356" s="42" t="inlineStr">
        <is>
          <t>Страница статуса заказа</t>
        </is>
      </c>
      <c r="E356" s="43" t="n">
        <v>2.33</v>
      </c>
      <c r="F356" s="42" t="inlineStr">
        <is>
          <t>Да</t>
        </is>
      </c>
      <c r="G356" s="44">
        <f>IF(billInc&gt;0,ROUNDUP(tblLog[[#This Row],[Часы]]/billInc,0)*billInc,tblLog[[#This Row],[Часы]])</f>
        <v>2.5</v>
      </c>
      <c r="H356" s="45">
        <f>IFERROR(INDEX(tblRates[СтавкаКлиенту],MATCH(tblLog[[#This Row],[Сотрудник]],tblRates[Сотрудник],0)),0)</f>
        <v>3500</v>
      </c>
      <c r="I356" s="45">
        <f>IF(tblLog[[#This Row],[Оплачиваемо]]=yesFlag,ROUND(tblLog[[#This Row],[ЧасыКОплате]]*tblLog[[#This Row],[Ставка]],2),0)</f>
        <v>8750</v>
      </c>
      <c r="J356" s="45">
        <f>IFERROR(INDEX(tblRates[СтавкаСотруднику],MATCH(tblLog[[#This Row],[Сотрудник]],tblRates[Сотрудник],0)),0)</f>
        <v>2400</v>
      </c>
      <c r="K356" s="45">
        <f>ROUND(tblLog[[#This Row],[Часы]]*tblLog[[#This Row],[СтавкаЗП]],2)</f>
        <v>5592</v>
      </c>
    </row>
    <row r="357">
      <c r="A357" s="41" t="n">
        <v>46294</v>
      </c>
      <c r="B357" s="42" t="inlineStr">
        <is>
          <t>Сольберг Мира</t>
        </is>
      </c>
      <c r="C357" s="42" t="inlineStr">
        <is>
          <t>Поддержка</t>
        </is>
      </c>
      <c r="D357" s="42" t="inlineStr">
        <is>
          <t>Созвон с клиентом</t>
        </is>
      </c>
      <c r="E357" s="43" t="n">
        <v>1.7</v>
      </c>
      <c r="F357" s="42" t="inlineStr">
        <is>
          <t>Нет</t>
        </is>
      </c>
      <c r="G357" s="44">
        <f>IF(billInc&gt;0,ROUNDUP(tblLog[[#This Row],[Часы]]/billInc,0)*billInc,tblLog[[#This Row],[Часы]])</f>
        <v>1.75</v>
      </c>
      <c r="H357" s="45">
        <f>IFERROR(INDEX(tblRates[СтавкаКлиенту],MATCH(tblLog[[#This Row],[Сотрудник]],tblRates[Сотрудник],0)),0)</f>
        <v>3500</v>
      </c>
      <c r="I357" s="45">
        <f>IF(tblLog[[#This Row],[Оплачиваемо]]=yesFlag,ROUND(tblLog[[#This Row],[ЧасыКОплате]]*tblLog[[#This Row],[Ставка]],2),0)</f>
        <v>0</v>
      </c>
      <c r="J357" s="45">
        <f>IFERROR(INDEX(tblRates[СтавкаСотруднику],MATCH(tblLog[[#This Row],[Сотрудник]],tblRates[Сотрудник],0)),0)</f>
        <v>2400</v>
      </c>
      <c r="K357" s="45">
        <f>ROUND(tblLog[[#This Row],[Часы]]*tblLog[[#This Row],[СтавкаЗП]],2)</f>
        <v>4080</v>
      </c>
    </row>
    <row r="358">
      <c r="A358" s="41" t="n">
        <v>46294</v>
      </c>
      <c r="B358" s="42" t="inlineStr">
        <is>
          <t>Сольберг Мира</t>
        </is>
      </c>
      <c r="C358" s="42" t="inlineStr">
        <is>
          <t>Клиентский портал</t>
        </is>
      </c>
      <c r="D358" s="42" t="inlineStr">
        <is>
          <t>Авторизация и роли</t>
        </is>
      </c>
      <c r="E358" s="43" t="n">
        <v>1.85</v>
      </c>
      <c r="F358" s="42" t="inlineStr">
        <is>
          <t>Нет</t>
        </is>
      </c>
      <c r="G358" s="44">
        <f>IF(billInc&gt;0,ROUNDUP(tblLog[[#This Row],[Часы]]/billInc,0)*billInc,tblLog[[#This Row],[Часы]])</f>
        <v>2</v>
      </c>
      <c r="H358" s="45">
        <f>IFERROR(INDEX(tblRates[СтавкаКлиенту],MATCH(tblLog[[#This Row],[Сотрудник]],tblRates[Сотрудник],0)),0)</f>
        <v>3500</v>
      </c>
      <c r="I358" s="45">
        <f>IF(tblLog[[#This Row],[Оплачиваемо]]=yesFlag,ROUND(tblLog[[#This Row],[ЧасыКОплате]]*tblLog[[#This Row],[Ставка]],2),0)</f>
        <v>0</v>
      </c>
      <c r="J358" s="45">
        <f>IFERROR(INDEX(tblRates[СтавкаСотруднику],MATCH(tblLog[[#This Row],[Сотрудник]],tblRates[Сотрудник],0)),0)</f>
        <v>2400</v>
      </c>
      <c r="K358" s="45">
        <f>ROUND(tblLog[[#This Row],[Часы]]*tblLog[[#This Row],[СтавкаЗП]],2)</f>
        <v>4440</v>
      </c>
    </row>
    <row r="359">
      <c r="A359" s="41" t="n">
        <v>46294</v>
      </c>
      <c r="B359" s="42" t="inlineStr">
        <is>
          <t>Сольберг Мира</t>
        </is>
      </c>
      <c r="C359" s="42" t="inlineStr">
        <is>
          <t>Клиентский портал</t>
        </is>
      </c>
      <c r="D359" s="42" t="inlineStr">
        <is>
          <t>Код-ревью</t>
        </is>
      </c>
      <c r="E359" s="43" t="n">
        <v>1.54</v>
      </c>
      <c r="F359" s="42" t="inlineStr">
        <is>
          <t>Да</t>
        </is>
      </c>
      <c r="G359" s="44">
        <f>IF(billInc&gt;0,ROUNDUP(tblLog[[#This Row],[Часы]]/billInc,0)*billInc,tblLog[[#This Row],[Часы]])</f>
        <v>1.75</v>
      </c>
      <c r="H359" s="45">
        <f>IFERROR(INDEX(tblRates[СтавкаКлиенту],MATCH(tblLog[[#This Row],[Сотрудник]],tblRates[Сотрудник],0)),0)</f>
        <v>3500</v>
      </c>
      <c r="I359" s="45">
        <f>IF(tblLog[[#This Row],[Оплачиваемо]]=yesFlag,ROUND(tblLog[[#This Row],[ЧасыКОплате]]*tblLog[[#This Row],[Ставка]],2),0)</f>
        <v>6125</v>
      </c>
      <c r="J359" s="45">
        <f>IFERROR(INDEX(tblRates[СтавкаСотруднику],MATCH(tblLog[[#This Row],[Сотрудник]],tblRates[Сотрудник],0)),0)</f>
        <v>2400</v>
      </c>
      <c r="K359" s="45">
        <f>ROUND(tblLog[[#This Row],[Часы]]*tblLog[[#This Row],[СтавкаЗП]],2)</f>
        <v>3696</v>
      </c>
    </row>
    <row r="360">
      <c r="A360" s="41" t="n">
        <v>46294</v>
      </c>
      <c r="B360" s="42" t="inlineStr">
        <is>
          <t>Сольберг Мира</t>
        </is>
      </c>
      <c r="C360" s="42" t="inlineStr">
        <is>
          <t>Клиентский портал</t>
        </is>
      </c>
      <c r="D360" s="42" t="inlineStr">
        <is>
          <t>Код-ревью</t>
        </is>
      </c>
      <c r="E360" s="43" t="n">
        <v>0.58</v>
      </c>
      <c r="F360" s="42" t="inlineStr">
        <is>
          <t>Да</t>
        </is>
      </c>
      <c r="G360" s="44">
        <f>IF(billInc&gt;0,ROUNDUP(tblLog[[#This Row],[Часы]]/billInc,0)*billInc,tblLog[[#This Row],[Часы]])</f>
        <v>0.75</v>
      </c>
      <c r="H360" s="45">
        <f>IFERROR(INDEX(tblRates[СтавкаКлиенту],MATCH(tblLog[[#This Row],[Сотрудник]],tblRates[Сотрудник],0)),0)</f>
        <v>3500</v>
      </c>
      <c r="I360" s="45">
        <f>IF(tblLog[[#This Row],[Оплачиваемо]]=yesFlag,ROUND(tblLog[[#This Row],[ЧасыКОплате]]*tblLog[[#This Row],[Ставка]],2),0)</f>
        <v>2625</v>
      </c>
      <c r="J360" s="45">
        <f>IFERROR(INDEX(tblRates[СтавкаСотруднику],MATCH(tblLog[[#This Row],[Сотрудник]],tblRates[Сотрудник],0)),0)</f>
        <v>2400</v>
      </c>
      <c r="K360" s="45">
        <f>ROUND(tblLog[[#This Row],[Часы]]*tblLog[[#This Row],[СтавкаЗП]],2)</f>
        <v>1392</v>
      </c>
    </row>
    <row r="361">
      <c r="A361" s="41" t="n">
        <v>46295</v>
      </c>
      <c r="B361" s="42" t="inlineStr">
        <is>
          <t>Бреннер Лука</t>
        </is>
      </c>
      <c r="C361" s="42" t="inlineStr">
        <is>
          <t>Клиентский портал</t>
        </is>
      </c>
      <c r="D361" s="42" t="inlineStr">
        <is>
          <t>Код-ревью</t>
        </is>
      </c>
      <c r="E361" s="43" t="n">
        <v>2.64</v>
      </c>
      <c r="F361" s="42" t="inlineStr">
        <is>
          <t>Да</t>
        </is>
      </c>
      <c r="G361" s="44">
        <f>IF(billInc&gt;0,ROUNDUP(tblLog[[#This Row],[Часы]]/billInc,0)*billInc,tblLog[[#This Row],[Часы]])</f>
        <v>2.75</v>
      </c>
      <c r="H361" s="45">
        <f>IFERROR(INDEX(tblRates[СтавкаКлиенту],MATCH(tblLog[[#This Row],[Сотрудник]],tblRates[Сотрудник],0)),0)</f>
        <v>2300</v>
      </c>
      <c r="I361" s="45">
        <f>IF(tblLog[[#This Row],[Оплачиваемо]]=yesFlag,ROUND(tblLog[[#This Row],[ЧасыКОплате]]*tblLog[[#This Row],[Ставка]],2),0)</f>
        <v>6325</v>
      </c>
      <c r="J361" s="45">
        <f>IFERROR(INDEX(tblRates[СтавкаСотруднику],MATCH(tblLog[[#This Row],[Сотрудник]],tblRates[Сотрудник],0)),0)</f>
        <v>1500</v>
      </c>
      <c r="K361" s="45">
        <f>ROUND(tblLog[[#This Row],[Часы]]*tblLog[[#This Row],[СтавкаЗП]],2)</f>
        <v>3960</v>
      </c>
    </row>
    <row r="362">
      <c r="A362" s="41" t="n">
        <v>46295</v>
      </c>
      <c r="B362" s="42" t="inlineStr">
        <is>
          <t>Бреннер Лука</t>
        </is>
      </c>
      <c r="C362" s="42" t="inlineStr">
        <is>
          <t>Мобильное приложение для цеха</t>
        </is>
      </c>
      <c r="D362" s="42" t="inlineStr">
        <is>
          <t>Push-уведомления</t>
        </is>
      </c>
      <c r="E362" s="43" t="n">
        <v>1.25</v>
      </c>
      <c r="F362" s="42" t="inlineStr">
        <is>
          <t>Да</t>
        </is>
      </c>
      <c r="G362" s="44">
        <f>IF(billInc&gt;0,ROUNDUP(tblLog[[#This Row],[Часы]]/billInc,0)*billInc,tblLog[[#This Row],[Часы]])</f>
        <v>1.25</v>
      </c>
      <c r="H362" s="45">
        <f>IFERROR(INDEX(tblRates[СтавкаКлиенту],MATCH(tblLog[[#This Row],[Сотрудник]],tblRates[Сотрудник],0)),0)</f>
        <v>2300</v>
      </c>
      <c r="I362" s="45">
        <f>IF(tblLog[[#This Row],[Оплачиваемо]]=yesFlag,ROUND(tblLog[[#This Row],[ЧасыКОплате]]*tblLog[[#This Row],[Ставка]],2),0)</f>
        <v>2875</v>
      </c>
      <c r="J362" s="45">
        <f>IFERROR(INDEX(tblRates[СтавкаСотруднику],MATCH(tblLog[[#This Row],[Сотрудник]],tblRates[Сотрудник],0)),0)</f>
        <v>1500</v>
      </c>
      <c r="K362" s="45">
        <f>ROUND(tblLog[[#This Row],[Часы]]*tblLog[[#This Row],[СтавкаЗП]],2)</f>
        <v>1875</v>
      </c>
    </row>
    <row r="363">
      <c r="A363" s="41" t="n">
        <v>46295</v>
      </c>
      <c r="B363" s="42" t="inlineStr">
        <is>
          <t>Бреннер Лука</t>
        </is>
      </c>
      <c r="C363" s="42" t="inlineStr">
        <is>
          <t>Клиентский портал</t>
        </is>
      </c>
      <c r="D363" s="42" t="inlineStr">
        <is>
          <t>Страница статуса заказа</t>
        </is>
      </c>
      <c r="E363" s="43" t="n">
        <v>3.16</v>
      </c>
      <c r="F363" s="42" t="inlineStr">
        <is>
          <t>Да</t>
        </is>
      </c>
      <c r="G363" s="44">
        <f>IF(billInc&gt;0,ROUNDUP(tblLog[[#This Row],[Часы]]/billInc,0)*billInc,tblLog[[#This Row],[Часы]])</f>
        <v>3.25</v>
      </c>
      <c r="H363" s="45">
        <f>IFERROR(INDEX(tblRates[СтавкаКлиенту],MATCH(tblLog[[#This Row],[Сотрудник]],tblRates[Сотрудник],0)),0)</f>
        <v>2300</v>
      </c>
      <c r="I363" s="45">
        <f>IF(tblLog[[#This Row],[Оплачиваемо]]=yesFlag,ROUND(tblLog[[#This Row],[ЧасыКОплате]]*tblLog[[#This Row],[Ставка]],2),0)</f>
        <v>7475</v>
      </c>
      <c r="J363" s="45">
        <f>IFERROR(INDEX(tblRates[СтавкаСотруднику],MATCH(tblLog[[#This Row],[Сотрудник]],tblRates[Сотрудник],0)),0)</f>
        <v>1500</v>
      </c>
      <c r="K363" s="45">
        <f>ROUND(tblLog[[#This Row],[Часы]]*tblLog[[#This Row],[СтавкаЗП]],2)</f>
        <v>4740</v>
      </c>
    </row>
    <row r="364">
      <c r="A364" s="41" t="n">
        <v>46295</v>
      </c>
      <c r="B364" s="42" t="inlineStr">
        <is>
          <t>Бреннер Лука</t>
        </is>
      </c>
      <c r="C364" s="42" t="inlineStr">
        <is>
          <t>Мобильное приложение для цеха</t>
        </is>
      </c>
      <c r="D364" s="42" t="inlineStr">
        <is>
          <t>Сканирование штрихкодов</t>
        </is>
      </c>
      <c r="E364" s="43" t="n">
        <v>0.95</v>
      </c>
      <c r="F364" s="42" t="inlineStr">
        <is>
          <t>Да</t>
        </is>
      </c>
      <c r="G364" s="44">
        <f>IF(billInc&gt;0,ROUNDUP(tblLog[[#This Row],[Часы]]/billInc,0)*billInc,tblLog[[#This Row],[Часы]])</f>
        <v>1</v>
      </c>
      <c r="H364" s="45">
        <f>IFERROR(INDEX(tblRates[СтавкаКлиенту],MATCH(tblLog[[#This Row],[Сотрудник]],tblRates[Сотрудник],0)),0)</f>
        <v>2300</v>
      </c>
      <c r="I364" s="45">
        <f>IF(tblLog[[#This Row],[Оплачиваемо]]=yesFlag,ROUND(tblLog[[#This Row],[ЧасыКОплате]]*tblLog[[#This Row],[Ставка]],2),0)</f>
        <v>2300</v>
      </c>
      <c r="J364" s="45">
        <f>IFERROR(INDEX(tblRates[СтавкаСотруднику],MATCH(tblLog[[#This Row],[Сотрудник]],tblRates[Сотрудник],0)),0)</f>
        <v>1500</v>
      </c>
      <c r="K364" s="45">
        <f>ROUND(tblLog[[#This Row],[Часы]]*tblLog[[#This Row],[СтавкаЗП]],2)</f>
        <v>1425</v>
      </c>
    </row>
    <row r="365">
      <c r="A365" s="41" t="n">
        <v>46295</v>
      </c>
      <c r="B365" s="42" t="inlineStr">
        <is>
          <t>Варга Тео</t>
        </is>
      </c>
      <c r="C365" s="42" t="inlineStr">
        <is>
          <t>Клиентский портал</t>
        </is>
      </c>
      <c r="D365" s="42" t="inlineStr">
        <is>
          <t>Код-ревью</t>
        </is>
      </c>
      <c r="E365" s="43" t="n">
        <v>0.93</v>
      </c>
      <c r="F365" s="42" t="inlineStr">
        <is>
          <t>Да</t>
        </is>
      </c>
      <c r="G365" s="44">
        <f>IF(billInc&gt;0,ROUNDUP(tblLog[[#This Row],[Часы]]/billInc,0)*billInc,tblLog[[#This Row],[Часы]])</f>
        <v>1</v>
      </c>
      <c r="H365" s="45">
        <f>IFERROR(INDEX(tblRates[СтавкаКлиенту],MATCH(tblLog[[#This Row],[Сотрудник]],tblRates[Сотрудник],0)),0)</f>
        <v>2600</v>
      </c>
      <c r="I365" s="45">
        <f>IF(tblLog[[#This Row],[Оплачиваемо]]=yesFlag,ROUND(tblLog[[#This Row],[ЧасыКОплате]]*tblLog[[#This Row],[Ставка]],2),0)</f>
        <v>2600</v>
      </c>
      <c r="J365" s="45">
        <f>IFERROR(INDEX(tblRates[СтавкаСотруднику],MATCH(tblLog[[#This Row],[Сотрудник]],tblRates[Сотрудник],0)),0)</f>
        <v>1700</v>
      </c>
      <c r="K365" s="45">
        <f>ROUND(tblLog[[#This Row],[Часы]]*tblLog[[#This Row],[СтавкаЗП]],2)</f>
        <v>1581</v>
      </c>
    </row>
    <row r="366">
      <c r="A366" s="41" t="n">
        <v>46295</v>
      </c>
      <c r="B366" s="42" t="inlineStr">
        <is>
          <t>Варга Тео</t>
        </is>
      </c>
      <c r="C366" s="42" t="inlineStr">
        <is>
          <t>Мобильное приложение для цеха</t>
        </is>
      </c>
      <c r="D366" s="42" t="inlineStr">
        <is>
          <t>Офлайн-синхронизация</t>
        </is>
      </c>
      <c r="E366" s="43" t="n">
        <v>4.01</v>
      </c>
      <c r="F366" s="42" t="inlineStr">
        <is>
          <t>Да</t>
        </is>
      </c>
      <c r="G366" s="44">
        <f>IF(billInc&gt;0,ROUNDUP(tblLog[[#This Row],[Часы]]/billInc,0)*billInc,tblLog[[#This Row],[Часы]])</f>
        <v>4.25</v>
      </c>
      <c r="H366" s="45">
        <f>IFERROR(INDEX(tblRates[СтавкаКлиенту],MATCH(tblLog[[#This Row],[Сотрудник]],tblRates[Сотрудник],0)),0)</f>
        <v>2600</v>
      </c>
      <c r="I366" s="45">
        <f>IF(tblLog[[#This Row],[Оплачиваемо]]=yesFlag,ROUND(tblLog[[#This Row],[ЧасыКОплате]]*tblLog[[#This Row],[Ставка]],2),0)</f>
        <v>11050</v>
      </c>
      <c r="J366" s="45">
        <f>IFERROR(INDEX(tblRates[СтавкаСотруднику],MATCH(tblLog[[#This Row],[Сотрудник]],tblRates[Сотрудник],0)),0)</f>
        <v>1700</v>
      </c>
      <c r="K366" s="45">
        <f>ROUND(tblLog[[#This Row],[Часы]]*tblLog[[#This Row],[СтавкаЗП]],2)</f>
        <v>6817</v>
      </c>
    </row>
    <row r="367">
      <c r="A367" s="41" t="n">
        <v>46295</v>
      </c>
      <c r="B367" s="42" t="inlineStr">
        <is>
          <t>Варга Тео</t>
        </is>
      </c>
      <c r="C367" s="42" t="inlineStr">
        <is>
          <t>Клиентский портал</t>
        </is>
      </c>
      <c r="D367" s="42" t="inlineStr">
        <is>
          <t>Выгрузка отчётов</t>
        </is>
      </c>
      <c r="E367" s="43" t="n">
        <v>1.91</v>
      </c>
      <c r="F367" s="42" t="inlineStr">
        <is>
          <t>Да</t>
        </is>
      </c>
      <c r="G367" s="44">
        <f>IF(billInc&gt;0,ROUNDUP(tblLog[[#This Row],[Часы]]/billInc,0)*billInc,tblLog[[#This Row],[Часы]])</f>
        <v>2</v>
      </c>
      <c r="H367" s="45">
        <f>IFERROR(INDEX(tblRates[СтавкаКлиенту],MATCH(tblLog[[#This Row],[Сотрудник]],tblRates[Сотрудник],0)),0)</f>
        <v>2600</v>
      </c>
      <c r="I367" s="45">
        <f>IF(tblLog[[#This Row],[Оплачиваемо]]=yesFlag,ROUND(tblLog[[#This Row],[ЧасыКОплате]]*tblLog[[#This Row],[Ставка]],2),0)</f>
        <v>5200</v>
      </c>
      <c r="J367" s="45">
        <f>IFERROR(INDEX(tblRates[СтавкаСотруднику],MATCH(tblLog[[#This Row],[Сотрудник]],tblRates[Сотрудник],0)),0)</f>
        <v>1700</v>
      </c>
      <c r="K367" s="45">
        <f>ROUND(tblLog[[#This Row],[Часы]]*tblLog[[#This Row],[СтавкаЗП]],2)</f>
        <v>3247</v>
      </c>
    </row>
    <row r="368">
      <c r="A368" s="41" t="n">
        <v>46295</v>
      </c>
      <c r="B368" s="42" t="inlineStr">
        <is>
          <t>Варга Тео</t>
        </is>
      </c>
      <c r="C368" s="42" t="inlineStr">
        <is>
          <t>Поддержка</t>
        </is>
      </c>
      <c r="D368" s="42" t="inlineStr">
        <is>
          <t>Исправление ошибок</t>
        </is>
      </c>
      <c r="E368" s="43" t="n">
        <v>1.15</v>
      </c>
      <c r="F368" s="42" t="inlineStr">
        <is>
          <t>Нет</t>
        </is>
      </c>
      <c r="G368" s="44">
        <f>IF(billInc&gt;0,ROUNDUP(tblLog[[#This Row],[Часы]]/billInc,0)*billInc,tblLog[[#This Row],[Часы]])</f>
        <v>1.25</v>
      </c>
      <c r="H368" s="45">
        <f>IFERROR(INDEX(tblRates[СтавкаКлиенту],MATCH(tblLog[[#This Row],[Сотрудник]],tblRates[Сотрудник],0)),0)</f>
        <v>2600</v>
      </c>
      <c r="I368" s="45">
        <f>IF(tblLog[[#This Row],[Оплачиваемо]]=yesFlag,ROUND(tblLog[[#This Row],[ЧасыКОплате]]*tblLog[[#This Row],[Ставка]],2),0)</f>
        <v>0</v>
      </c>
      <c r="J368" s="45">
        <f>IFERROR(INDEX(tblRates[СтавкаСотруднику],MATCH(tblLog[[#This Row],[Сотрудник]],tblRates[Сотрудник],0)),0)</f>
        <v>1700</v>
      </c>
      <c r="K368" s="45">
        <f>ROUND(tblLog[[#This Row],[Часы]]*tblLog[[#This Row],[СтавкаЗП]],2)</f>
        <v>1955</v>
      </c>
    </row>
    <row r="369">
      <c r="A369" s="41" t="n">
        <v>46295</v>
      </c>
      <c r="B369" s="42" t="inlineStr">
        <is>
          <t>Окафор Инес</t>
        </is>
      </c>
      <c r="C369" s="42" t="inlineStr">
        <is>
          <t>Мобильное приложение для цеха</t>
        </is>
      </c>
      <c r="D369" s="42" t="inlineStr">
        <is>
          <t>Сканирование штрихкодов</t>
        </is>
      </c>
      <c r="E369" s="43" t="n">
        <v>3.25</v>
      </c>
      <c r="F369" s="42" t="inlineStr">
        <is>
          <t>Да</t>
        </is>
      </c>
      <c r="G369" s="44">
        <f>IF(billInc&gt;0,ROUNDUP(tblLog[[#This Row],[Часы]]/billInc,0)*billInc,tblLog[[#This Row],[Часы]])</f>
        <v>3.25</v>
      </c>
      <c r="H369" s="45">
        <f>IFERROR(INDEX(tblRates[СтавкаКлиенту],MATCH(tblLog[[#This Row],[Сотрудник]],tblRates[Сотрудник],0)),0)</f>
        <v>1900</v>
      </c>
      <c r="I369" s="45">
        <f>IF(tblLog[[#This Row],[Оплачиваемо]]=yesFlag,ROUND(tblLog[[#This Row],[ЧасыКОплате]]*tblLog[[#This Row],[Ставка]],2),0)</f>
        <v>6175</v>
      </c>
      <c r="J369" s="45">
        <f>IFERROR(INDEX(tblRates[СтавкаСотруднику],MATCH(tblLog[[#This Row],[Сотрудник]],tblRates[Сотрудник],0)),0)</f>
        <v>1200</v>
      </c>
      <c r="K369" s="45">
        <f>ROUND(tblLog[[#This Row],[Часы]]*tblLog[[#This Row],[СтавкаЗП]],2)</f>
        <v>3900</v>
      </c>
    </row>
    <row r="370">
      <c r="A370" s="41" t="n">
        <v>46295</v>
      </c>
      <c r="B370" s="42" t="inlineStr">
        <is>
          <t>Окафор Инес</t>
        </is>
      </c>
      <c r="C370" s="42" t="inlineStr">
        <is>
          <t>Мобильное приложение для цеха</t>
        </is>
      </c>
      <c r="D370" s="42" t="inlineStr">
        <is>
          <t>Офлайн-синхронизация</t>
        </is>
      </c>
      <c r="E370" s="43" t="n">
        <v>1.06</v>
      </c>
      <c r="F370" s="42" t="inlineStr">
        <is>
          <t>Да</t>
        </is>
      </c>
      <c r="G370" s="44">
        <f>IF(billInc&gt;0,ROUNDUP(tblLog[[#This Row],[Часы]]/billInc,0)*billInc,tblLog[[#This Row],[Часы]])</f>
        <v>1.25</v>
      </c>
      <c r="H370" s="45">
        <f>IFERROR(INDEX(tblRates[СтавкаКлиенту],MATCH(tblLog[[#This Row],[Сотрудник]],tblRates[Сотрудник],0)),0)</f>
        <v>1900</v>
      </c>
      <c r="I370" s="45">
        <f>IF(tblLog[[#This Row],[Оплачиваемо]]=yesFlag,ROUND(tblLog[[#This Row],[ЧасыКОплате]]*tblLog[[#This Row],[Ставка]],2),0)</f>
        <v>2375</v>
      </c>
      <c r="J370" s="45">
        <f>IFERROR(INDEX(tblRates[СтавкаСотруднику],MATCH(tblLog[[#This Row],[Сотрудник]],tblRates[Сотрудник],0)),0)</f>
        <v>1200</v>
      </c>
      <c r="K370" s="45">
        <f>ROUND(tblLog[[#This Row],[Часы]]*tblLog[[#This Row],[СтавкаЗП]],2)</f>
        <v>1272</v>
      </c>
    </row>
    <row r="371">
      <c r="A371" s="41" t="n">
        <v>46295</v>
      </c>
      <c r="B371" s="42" t="inlineStr">
        <is>
          <t>Окафор Инес</t>
        </is>
      </c>
      <c r="C371" s="42" t="inlineStr">
        <is>
          <t>Мобильное приложение для цеха</t>
        </is>
      </c>
      <c r="D371" s="42" t="inlineStr">
        <is>
          <t>Офлайн-синхронизация</t>
        </is>
      </c>
      <c r="E371" s="43" t="n">
        <v>1.69</v>
      </c>
      <c r="F371" s="42" t="inlineStr">
        <is>
          <t>Да</t>
        </is>
      </c>
      <c r="G371" s="44">
        <f>IF(billInc&gt;0,ROUNDUP(tblLog[[#This Row],[Часы]]/billInc,0)*billInc,tblLog[[#This Row],[Часы]])</f>
        <v>1.75</v>
      </c>
      <c r="H371" s="45">
        <f>IFERROR(INDEX(tblRates[СтавкаКлиенту],MATCH(tblLog[[#This Row],[Сотрудник]],tblRates[Сотрудник],0)),0)</f>
        <v>1900</v>
      </c>
      <c r="I371" s="45">
        <f>IF(tblLog[[#This Row],[Оплачиваемо]]=yesFlag,ROUND(tblLog[[#This Row],[ЧасыКОплате]]*tblLog[[#This Row],[Ставка]],2),0)</f>
        <v>3325</v>
      </c>
      <c r="J371" s="45">
        <f>IFERROR(INDEX(tblRates[СтавкаСотруднику],MATCH(tblLog[[#This Row],[Сотрудник]],tblRates[Сотрудник],0)),0)</f>
        <v>1200</v>
      </c>
      <c r="K371" s="45">
        <f>ROUND(tblLog[[#This Row],[Часы]]*tblLog[[#This Row],[СтавкаЗП]],2)</f>
        <v>2028</v>
      </c>
    </row>
    <row r="372">
      <c r="A372" s="41" t="n">
        <v>46295</v>
      </c>
      <c r="B372" s="42" t="inlineStr">
        <is>
          <t>Сольберг Мира</t>
        </is>
      </c>
      <c r="C372" s="42" t="inlineStr">
        <is>
          <t>Мобильное приложение для цеха</t>
        </is>
      </c>
      <c r="D372" s="42" t="inlineStr">
        <is>
          <t>Push-уведомления</t>
        </is>
      </c>
      <c r="E372" s="43" t="n">
        <v>3</v>
      </c>
      <c r="F372" s="42" t="inlineStr">
        <is>
          <t>Да</t>
        </is>
      </c>
      <c r="G372" s="44">
        <f>IF(billInc&gt;0,ROUNDUP(tblLog[[#This Row],[Часы]]/billInc,0)*billInc,tblLog[[#This Row],[Часы]])</f>
        <v>3</v>
      </c>
      <c r="H372" s="45">
        <f>IFERROR(INDEX(tblRates[СтавкаКлиенту],MATCH(tblLog[[#This Row],[Сотрудник]],tblRates[Сотрудник],0)),0)</f>
        <v>3500</v>
      </c>
      <c r="I372" s="45">
        <f>IF(tblLog[[#This Row],[Оплачиваемо]]=yesFlag,ROUND(tblLog[[#This Row],[ЧасыКОплате]]*tblLog[[#This Row],[Ставка]],2),0)</f>
        <v>10500</v>
      </c>
      <c r="J372" s="45">
        <f>IFERROR(INDEX(tblRates[СтавкаСотруднику],MATCH(tblLog[[#This Row],[Сотрудник]],tblRates[Сотрудник],0)),0)</f>
        <v>2400</v>
      </c>
      <c r="K372" s="45">
        <f>ROUND(tblLog[[#This Row],[Часы]]*tblLog[[#This Row],[СтавкаЗП]],2)</f>
        <v>7200</v>
      </c>
    </row>
    <row r="373">
      <c r="A373" s="41" t="n">
        <v>46295</v>
      </c>
      <c r="B373" s="42" t="inlineStr">
        <is>
          <t>Сольберг Мира</t>
        </is>
      </c>
      <c r="C373" s="42" t="inlineStr">
        <is>
          <t>Клиентский портал</t>
        </is>
      </c>
      <c r="D373" s="42" t="inlineStr">
        <is>
          <t>Авторизация и роли</t>
        </is>
      </c>
      <c r="E373" s="43" t="n">
        <v>1.8</v>
      </c>
      <c r="F373" s="42" t="inlineStr">
        <is>
          <t>Да</t>
        </is>
      </c>
      <c r="G373" s="44">
        <f>IF(billInc&gt;0,ROUNDUP(tblLog[[#This Row],[Часы]]/billInc,0)*billInc,tblLog[[#This Row],[Часы]])</f>
        <v>2</v>
      </c>
      <c r="H373" s="45">
        <f>IFERROR(INDEX(tblRates[СтавкаКлиенту],MATCH(tblLog[[#This Row],[Сотрудник]],tblRates[Сотрудник],0)),0)</f>
        <v>3500</v>
      </c>
      <c r="I373" s="45">
        <f>IF(tblLog[[#This Row],[Оплачиваемо]]=yesFlag,ROUND(tblLog[[#This Row],[ЧасыКОплате]]*tblLog[[#This Row],[Ставка]],2),0)</f>
        <v>7000</v>
      </c>
      <c r="J373" s="45">
        <f>IFERROR(INDEX(tblRates[СтавкаСотруднику],MATCH(tblLog[[#This Row],[Сотрудник]],tblRates[Сотрудник],0)),0)</f>
        <v>2400</v>
      </c>
      <c r="K373" s="45">
        <f>ROUND(tblLog[[#This Row],[Часы]]*tblLog[[#This Row],[СтавкаЗП]],2)</f>
        <v>4320</v>
      </c>
    </row>
    <row r="374">
      <c r="A374" s="41" t="n">
        <v>46295</v>
      </c>
      <c r="B374" s="42" t="inlineStr">
        <is>
          <t>Сольберг Мира</t>
        </is>
      </c>
      <c r="C374" s="42" t="inlineStr">
        <is>
          <t>Поддержка</t>
        </is>
      </c>
      <c r="D374" s="42" t="inlineStr">
        <is>
          <t>Обновление сервера</t>
        </is>
      </c>
      <c r="E374" s="43" t="n">
        <v>2.49</v>
      </c>
      <c r="F374" s="42" t="inlineStr">
        <is>
          <t>Да</t>
        </is>
      </c>
      <c r="G374" s="44">
        <f>IF(billInc&gt;0,ROUNDUP(tblLog[[#This Row],[Часы]]/billInc,0)*billInc,tblLog[[#This Row],[Часы]])</f>
        <v>2.5</v>
      </c>
      <c r="H374" s="45">
        <f>IFERROR(INDEX(tblRates[СтавкаКлиенту],MATCH(tblLog[[#This Row],[Сотрудник]],tblRates[Сотрудник],0)),0)</f>
        <v>3500</v>
      </c>
      <c r="I374" s="45">
        <f>IF(tblLog[[#This Row],[Оплачиваемо]]=yesFlag,ROUND(tblLog[[#This Row],[ЧасыКОплате]]*tblLog[[#This Row],[Ставка]],2),0)</f>
        <v>8750</v>
      </c>
      <c r="J374" s="45">
        <f>IFERROR(INDEX(tblRates[СтавкаСотруднику],MATCH(tblLog[[#This Row],[Сотрудник]],tblRates[Сотрудник],0)),0)</f>
        <v>2400</v>
      </c>
      <c r="K374" s="45">
        <f>ROUND(tblLog[[#This Row],[Часы]]*tblLog[[#This Row],[СтавкаЗП]],2)</f>
        <v>5976</v>
      </c>
    </row>
    <row r="375">
      <c r="A375" s="41" t="n">
        <v>46295</v>
      </c>
      <c r="B375" s="42" t="inlineStr">
        <is>
          <t>Сольберг Мира</t>
        </is>
      </c>
      <c r="C375" s="42" t="inlineStr">
        <is>
          <t>Поддержка</t>
        </is>
      </c>
      <c r="D375" s="42" t="inlineStr">
        <is>
          <t>Созвон с клиентом</t>
        </is>
      </c>
      <c r="E375" s="43" t="n">
        <v>0.71</v>
      </c>
      <c r="F375" s="42" t="inlineStr">
        <is>
          <t>Да</t>
        </is>
      </c>
      <c r="G375" s="44">
        <f>IF(billInc&gt;0,ROUNDUP(tblLog[[#This Row],[Часы]]/billInc,0)*billInc,tblLog[[#This Row],[Часы]])</f>
        <v>0.75</v>
      </c>
      <c r="H375" s="45">
        <f>IFERROR(INDEX(tblRates[СтавкаКлиенту],MATCH(tblLog[[#This Row],[Сотрудник]],tblRates[Сотрудник],0)),0)</f>
        <v>3500</v>
      </c>
      <c r="I375" s="45">
        <f>IF(tblLog[[#This Row],[Оплачиваемо]]=yesFlag,ROUND(tblLog[[#This Row],[ЧасыКОплате]]*tblLog[[#This Row],[Ставка]],2),0)</f>
        <v>2625</v>
      </c>
      <c r="J375" s="45">
        <f>IFERROR(INDEX(tblRates[СтавкаСотруднику],MATCH(tblLog[[#This Row],[Сотрудник]],tblRates[Сотрудник],0)),0)</f>
        <v>2400</v>
      </c>
      <c r="K375" s="45">
        <f>ROUND(tblLog[[#This Row],[Часы]]*tblLog[[#This Row],[СтавкаЗП]],2)</f>
        <v>1704</v>
      </c>
    </row>
    <row r="376">
      <c r="A376" s="41" t="n">
        <v>46296</v>
      </c>
      <c r="B376" s="42" t="inlineStr">
        <is>
          <t>Бреннер Лука</t>
        </is>
      </c>
      <c r="C376" s="42" t="inlineStr">
        <is>
          <t>Мобильное приложение для цеха</t>
        </is>
      </c>
      <c r="D376" s="42" t="inlineStr">
        <is>
          <t>Сканирование штрихкодов</t>
        </is>
      </c>
      <c r="E376" s="43" t="n">
        <v>4.11</v>
      </c>
      <c r="F376" s="42" t="inlineStr">
        <is>
          <t>Да</t>
        </is>
      </c>
      <c r="G376" s="44">
        <f>IF(billInc&gt;0,ROUNDUP(tblLog[[#This Row],[Часы]]/billInc,0)*billInc,tblLog[[#This Row],[Часы]])</f>
        <v>4.25</v>
      </c>
      <c r="H376" s="45">
        <f>IFERROR(INDEX(tblRates[СтавкаКлиенту],MATCH(tblLog[[#This Row],[Сотрудник]],tblRates[Сотрудник],0)),0)</f>
        <v>2300</v>
      </c>
      <c r="I376" s="45">
        <f>IF(tblLog[[#This Row],[Оплачиваемо]]=yesFlag,ROUND(tblLog[[#This Row],[ЧасыКОплате]]*tblLog[[#This Row],[Ставка]],2),0)</f>
        <v>9775</v>
      </c>
      <c r="J376" s="45">
        <f>IFERROR(INDEX(tblRates[СтавкаСотруднику],MATCH(tblLog[[#This Row],[Сотрудник]],tblRates[Сотрудник],0)),0)</f>
        <v>1500</v>
      </c>
      <c r="K376" s="45">
        <f>ROUND(tblLog[[#This Row],[Часы]]*tblLog[[#This Row],[СтавкаЗП]],2)</f>
        <v>6165</v>
      </c>
    </row>
    <row r="377">
      <c r="A377" s="41" t="n">
        <v>46296</v>
      </c>
      <c r="B377" s="42" t="inlineStr">
        <is>
          <t>Бреннер Лука</t>
        </is>
      </c>
      <c r="C377" s="42" t="inlineStr">
        <is>
          <t>Клиентский портал</t>
        </is>
      </c>
      <c r="D377" s="42" t="inlineStr">
        <is>
          <t>Выгрузка отчётов</t>
        </is>
      </c>
      <c r="E377" s="43" t="n">
        <v>2.73</v>
      </c>
      <c r="F377" s="42" t="inlineStr">
        <is>
          <t>Да</t>
        </is>
      </c>
      <c r="G377" s="44">
        <f>IF(billInc&gt;0,ROUNDUP(tblLog[[#This Row],[Часы]]/billInc,0)*billInc,tblLog[[#This Row],[Часы]])</f>
        <v>2.75</v>
      </c>
      <c r="H377" s="45">
        <f>IFERROR(INDEX(tblRates[СтавкаКлиенту],MATCH(tblLog[[#This Row],[Сотрудник]],tblRates[Сотрудник],0)),0)</f>
        <v>2300</v>
      </c>
      <c r="I377" s="45">
        <f>IF(tblLog[[#This Row],[Оплачиваемо]]=yesFlag,ROUND(tblLog[[#This Row],[ЧасыКОплате]]*tblLog[[#This Row],[Ставка]],2),0)</f>
        <v>6325</v>
      </c>
      <c r="J377" s="45">
        <f>IFERROR(INDEX(tblRates[СтавкаСотруднику],MATCH(tblLog[[#This Row],[Сотрудник]],tblRates[Сотрудник],0)),0)</f>
        <v>1500</v>
      </c>
      <c r="K377" s="45">
        <f>ROUND(tblLog[[#This Row],[Часы]]*tblLog[[#This Row],[СтавкаЗП]],2)</f>
        <v>4095</v>
      </c>
    </row>
    <row r="378">
      <c r="A378" s="41" t="n">
        <v>46296</v>
      </c>
      <c r="B378" s="42" t="inlineStr">
        <is>
          <t>Бреннер Лука</t>
        </is>
      </c>
      <c r="C378" s="42" t="inlineStr">
        <is>
          <t>Клиентский портал</t>
        </is>
      </c>
      <c r="D378" s="42" t="inlineStr">
        <is>
          <t>Выгрузка отчётов</t>
        </is>
      </c>
      <c r="E378" s="43" t="n">
        <v>0.66</v>
      </c>
      <c r="F378" s="42" t="inlineStr">
        <is>
          <t>Да</t>
        </is>
      </c>
      <c r="G378" s="44">
        <f>IF(billInc&gt;0,ROUNDUP(tblLog[[#This Row],[Часы]]/billInc,0)*billInc,tblLog[[#This Row],[Часы]])</f>
        <v>0.75</v>
      </c>
      <c r="H378" s="45">
        <f>IFERROR(INDEX(tblRates[СтавкаКлиенту],MATCH(tblLog[[#This Row],[Сотрудник]],tblRates[Сотрудник],0)),0)</f>
        <v>2300</v>
      </c>
      <c r="I378" s="45">
        <f>IF(tblLog[[#This Row],[Оплачиваемо]]=yesFlag,ROUND(tblLog[[#This Row],[ЧасыКОплате]]*tblLog[[#This Row],[Ставка]],2),0)</f>
        <v>1725</v>
      </c>
      <c r="J378" s="45">
        <f>IFERROR(INDEX(tblRates[СтавкаСотруднику],MATCH(tblLog[[#This Row],[Сотрудник]],tblRates[Сотрудник],0)),0)</f>
        <v>1500</v>
      </c>
      <c r="K378" s="45">
        <f>ROUND(tblLog[[#This Row],[Часы]]*tblLog[[#This Row],[СтавкаЗП]],2)</f>
        <v>990</v>
      </c>
    </row>
    <row r="379">
      <c r="A379" s="41" t="n">
        <v>46296</v>
      </c>
      <c r="B379" s="42" t="inlineStr">
        <is>
          <t>Варга Тео</t>
        </is>
      </c>
      <c r="C379" s="42" t="inlineStr">
        <is>
          <t>Мобильное приложение для цеха</t>
        </is>
      </c>
      <c r="D379" s="42" t="inlineStr">
        <is>
          <t>Офлайн-синхронизация</t>
        </is>
      </c>
      <c r="E379" s="43" t="n">
        <v>3.51</v>
      </c>
      <c r="F379" s="42" t="inlineStr">
        <is>
          <t>Да</t>
        </is>
      </c>
      <c r="G379" s="44">
        <f>IF(billInc&gt;0,ROUNDUP(tblLog[[#This Row],[Часы]]/billInc,0)*billInc,tblLog[[#This Row],[Часы]])</f>
        <v>3.75</v>
      </c>
      <c r="H379" s="45">
        <f>IFERROR(INDEX(tblRates[СтавкаКлиенту],MATCH(tblLog[[#This Row],[Сотрудник]],tblRates[Сотрудник],0)),0)</f>
        <v>2600</v>
      </c>
      <c r="I379" s="45">
        <f>IF(tblLog[[#This Row],[Оплачиваемо]]=yesFlag,ROUND(tblLog[[#This Row],[ЧасыКОплате]]*tblLog[[#This Row],[Ставка]],2),0)</f>
        <v>9750</v>
      </c>
      <c r="J379" s="45">
        <f>IFERROR(INDEX(tblRates[СтавкаСотруднику],MATCH(tblLog[[#This Row],[Сотрудник]],tblRates[Сотрудник],0)),0)</f>
        <v>1700</v>
      </c>
      <c r="K379" s="45">
        <f>ROUND(tblLog[[#This Row],[Часы]]*tblLog[[#This Row],[СтавкаЗП]],2)</f>
        <v>5967</v>
      </c>
    </row>
    <row r="380">
      <c r="A380" s="41" t="n">
        <v>46296</v>
      </c>
      <c r="B380" s="42" t="inlineStr">
        <is>
          <t>Варга Тео</t>
        </is>
      </c>
      <c r="C380" s="42" t="inlineStr">
        <is>
          <t>Клиентский портал</t>
        </is>
      </c>
      <c r="D380" s="42" t="inlineStr">
        <is>
          <t>Авторизация и роли</t>
        </is>
      </c>
      <c r="E380" s="43" t="n">
        <v>1.48</v>
      </c>
      <c r="F380" s="42" t="inlineStr">
        <is>
          <t>Да</t>
        </is>
      </c>
      <c r="G380" s="44">
        <f>IF(billInc&gt;0,ROUNDUP(tblLog[[#This Row],[Часы]]/billInc,0)*billInc,tblLog[[#This Row],[Часы]])</f>
        <v>1.5</v>
      </c>
      <c r="H380" s="45">
        <f>IFERROR(INDEX(tblRates[СтавкаКлиенту],MATCH(tblLog[[#This Row],[Сотрудник]],tblRates[Сотрудник],0)),0)</f>
        <v>2600</v>
      </c>
      <c r="I380" s="45">
        <f>IF(tblLog[[#This Row],[Оплачиваемо]]=yesFlag,ROUND(tblLog[[#This Row],[ЧасыКОплате]]*tblLog[[#This Row],[Ставка]],2),0)</f>
        <v>3900</v>
      </c>
      <c r="J380" s="45">
        <f>IFERROR(INDEX(tblRates[СтавкаСотруднику],MATCH(tblLog[[#This Row],[Сотрудник]],tblRates[Сотрудник],0)),0)</f>
        <v>1700</v>
      </c>
      <c r="K380" s="45">
        <f>ROUND(tblLog[[#This Row],[Часы]]*tblLog[[#This Row],[СтавкаЗП]],2)</f>
        <v>2516</v>
      </c>
    </row>
    <row r="381">
      <c r="A381" s="41" t="n">
        <v>46296</v>
      </c>
      <c r="B381" s="42" t="inlineStr">
        <is>
          <t>Варга Тео</t>
        </is>
      </c>
      <c r="C381" s="42" t="inlineStr">
        <is>
          <t>Клиентский портал</t>
        </is>
      </c>
      <c r="D381" s="42" t="inlineStr">
        <is>
          <t>Выгрузка отчётов</t>
        </is>
      </c>
      <c r="E381" s="43" t="n">
        <v>1.43</v>
      </c>
      <c r="F381" s="42" t="inlineStr">
        <is>
          <t>Да</t>
        </is>
      </c>
      <c r="G381" s="44">
        <f>IF(billInc&gt;0,ROUNDUP(tblLog[[#This Row],[Часы]]/billInc,0)*billInc,tblLog[[#This Row],[Часы]])</f>
        <v>1.5</v>
      </c>
      <c r="H381" s="45">
        <f>IFERROR(INDEX(tblRates[СтавкаКлиенту],MATCH(tblLog[[#This Row],[Сотрудник]],tblRates[Сотрудник],0)),0)</f>
        <v>2600</v>
      </c>
      <c r="I381" s="45">
        <f>IF(tblLog[[#This Row],[Оплачиваемо]]=yesFlag,ROUND(tblLog[[#This Row],[ЧасыКОплате]]*tblLog[[#This Row],[Ставка]],2),0)</f>
        <v>3900</v>
      </c>
      <c r="J381" s="45">
        <f>IFERROR(INDEX(tblRates[СтавкаСотруднику],MATCH(tblLog[[#This Row],[Сотрудник]],tblRates[Сотрудник],0)),0)</f>
        <v>1700</v>
      </c>
      <c r="K381" s="45">
        <f>ROUND(tblLog[[#This Row],[Часы]]*tblLog[[#This Row],[СтавкаЗП]],2)</f>
        <v>2431</v>
      </c>
    </row>
    <row r="382">
      <c r="A382" s="41" t="n">
        <v>46296</v>
      </c>
      <c r="B382" s="42" t="inlineStr">
        <is>
          <t>Варга Тео</t>
        </is>
      </c>
      <c r="C382" s="42" t="inlineStr">
        <is>
          <t>Поддержка</t>
        </is>
      </c>
      <c r="D382" s="42" t="inlineStr">
        <is>
          <t>Созвон с клиентом</t>
        </is>
      </c>
      <c r="E382" s="43" t="n">
        <v>1.28</v>
      </c>
      <c r="F382" s="42" t="inlineStr">
        <is>
          <t>Да</t>
        </is>
      </c>
      <c r="G382" s="44">
        <f>IF(billInc&gt;0,ROUNDUP(tblLog[[#This Row],[Часы]]/billInc,0)*billInc,tblLog[[#This Row],[Часы]])</f>
        <v>1.5</v>
      </c>
      <c r="H382" s="45">
        <f>IFERROR(INDEX(tblRates[СтавкаКлиенту],MATCH(tblLog[[#This Row],[Сотрудник]],tblRates[Сотрудник],0)),0)</f>
        <v>2600</v>
      </c>
      <c r="I382" s="45">
        <f>IF(tblLog[[#This Row],[Оплачиваемо]]=yesFlag,ROUND(tblLog[[#This Row],[ЧасыКОплате]]*tblLog[[#This Row],[Ставка]],2),0)</f>
        <v>3900</v>
      </c>
      <c r="J382" s="45">
        <f>IFERROR(INDEX(tblRates[СтавкаСотруднику],MATCH(tblLog[[#This Row],[Сотрудник]],tblRates[Сотрудник],0)),0)</f>
        <v>1700</v>
      </c>
      <c r="K382" s="45">
        <f>ROUND(tblLog[[#This Row],[Часы]]*tblLog[[#This Row],[СтавкаЗП]],2)</f>
        <v>2176</v>
      </c>
    </row>
    <row r="383">
      <c r="A383" s="41" t="n">
        <v>46296</v>
      </c>
      <c r="B383" s="42" t="inlineStr">
        <is>
          <t>Варга Тео</t>
        </is>
      </c>
      <c r="C383" s="42" t="inlineStr">
        <is>
          <t>Поддержка</t>
        </is>
      </c>
      <c r="D383" s="42" t="inlineStr">
        <is>
          <t>Созвон с клиентом</t>
        </is>
      </c>
      <c r="E383" s="43" t="n">
        <v>0.3</v>
      </c>
      <c r="F383" s="42" t="inlineStr">
        <is>
          <t>Да</t>
        </is>
      </c>
      <c r="G383" s="44">
        <f>IF(billInc&gt;0,ROUNDUP(tblLog[[#This Row],[Часы]]/billInc,0)*billInc,tblLog[[#This Row],[Часы]])</f>
        <v>0.5</v>
      </c>
      <c r="H383" s="45">
        <f>IFERROR(INDEX(tblRates[СтавкаКлиенту],MATCH(tblLog[[#This Row],[Сотрудник]],tblRates[Сотрудник],0)),0)</f>
        <v>2600</v>
      </c>
      <c r="I383" s="45">
        <f>IF(tblLog[[#This Row],[Оплачиваемо]]=yesFlag,ROUND(tblLog[[#This Row],[ЧасыКОплате]]*tblLog[[#This Row],[Ставка]],2),0)</f>
        <v>1300</v>
      </c>
      <c r="J383" s="45">
        <f>IFERROR(INDEX(tblRates[СтавкаСотруднику],MATCH(tblLog[[#This Row],[Сотрудник]],tblRates[Сотрудник],0)),0)</f>
        <v>1700</v>
      </c>
      <c r="K383" s="45">
        <f>ROUND(tblLog[[#This Row],[Часы]]*tblLog[[#This Row],[СтавкаЗП]],2)</f>
        <v>510</v>
      </c>
    </row>
    <row r="384">
      <c r="A384" s="41" t="n">
        <v>46296</v>
      </c>
      <c r="B384" s="42" t="inlineStr">
        <is>
          <t>Окафор Инес</t>
        </is>
      </c>
      <c r="C384" s="42" t="inlineStr">
        <is>
          <t>Мобильное приложение для цеха</t>
        </is>
      </c>
      <c r="D384" s="42" t="inlineStr">
        <is>
          <t>Сканирование штрихкодов</t>
        </is>
      </c>
      <c r="E384" s="43" t="n">
        <v>2.54</v>
      </c>
      <c r="F384" s="42" t="inlineStr">
        <is>
          <t>Да</t>
        </is>
      </c>
      <c r="G384" s="44">
        <f>IF(billInc&gt;0,ROUNDUP(tblLog[[#This Row],[Часы]]/billInc,0)*billInc,tblLog[[#This Row],[Часы]])</f>
        <v>2.75</v>
      </c>
      <c r="H384" s="45">
        <f>IFERROR(INDEX(tblRates[СтавкаКлиенту],MATCH(tblLog[[#This Row],[Сотрудник]],tblRates[Сотрудник],0)),0)</f>
        <v>1900</v>
      </c>
      <c r="I384" s="45">
        <f>IF(tblLog[[#This Row],[Оплачиваемо]]=yesFlag,ROUND(tblLog[[#This Row],[ЧасыКОплате]]*tblLog[[#This Row],[Ставка]],2),0)</f>
        <v>5225</v>
      </c>
      <c r="J384" s="45">
        <f>IFERROR(INDEX(tblRates[СтавкаСотруднику],MATCH(tblLog[[#This Row],[Сотрудник]],tblRates[Сотрудник],0)),0)</f>
        <v>1200</v>
      </c>
      <c r="K384" s="45">
        <f>ROUND(tblLog[[#This Row],[Часы]]*tblLog[[#This Row],[СтавкаЗП]],2)</f>
        <v>3048</v>
      </c>
    </row>
    <row r="385">
      <c r="A385" s="41" t="n">
        <v>46296</v>
      </c>
      <c r="B385" s="42" t="inlineStr">
        <is>
          <t>Окафор Инес</t>
        </is>
      </c>
      <c r="C385" s="42" t="inlineStr">
        <is>
          <t>Мобильное приложение для цеха</t>
        </is>
      </c>
      <c r="D385" s="42" t="inlineStr">
        <is>
          <t>Офлайн-синхронизация</t>
        </is>
      </c>
      <c r="E385" s="43" t="n">
        <v>1.41</v>
      </c>
      <c r="F385" s="42" t="inlineStr">
        <is>
          <t>Да</t>
        </is>
      </c>
      <c r="G385" s="44">
        <f>IF(billInc&gt;0,ROUNDUP(tblLog[[#This Row],[Часы]]/billInc,0)*billInc,tblLog[[#This Row],[Часы]])</f>
        <v>1.5</v>
      </c>
      <c r="H385" s="45">
        <f>IFERROR(INDEX(tblRates[СтавкаКлиенту],MATCH(tblLog[[#This Row],[Сотрудник]],tblRates[Сотрудник],0)),0)</f>
        <v>1900</v>
      </c>
      <c r="I385" s="45">
        <f>IF(tblLog[[#This Row],[Оплачиваемо]]=yesFlag,ROUND(tblLog[[#This Row],[ЧасыКОплате]]*tblLog[[#This Row],[Ставка]],2),0)</f>
        <v>2850</v>
      </c>
      <c r="J385" s="45">
        <f>IFERROR(INDEX(tblRates[СтавкаСотруднику],MATCH(tblLog[[#This Row],[Сотрудник]],tblRates[Сотрудник],0)),0)</f>
        <v>1200</v>
      </c>
      <c r="K385" s="45">
        <f>ROUND(tblLog[[#This Row],[Часы]]*tblLog[[#This Row],[СтавкаЗП]],2)</f>
        <v>1692</v>
      </c>
    </row>
    <row r="386">
      <c r="A386" s="41" t="n">
        <v>46296</v>
      </c>
      <c r="B386" s="42" t="inlineStr">
        <is>
          <t>Окафор Инес</t>
        </is>
      </c>
      <c r="C386" s="42" t="inlineStr">
        <is>
          <t>Поддержка</t>
        </is>
      </c>
      <c r="D386" s="42" t="inlineStr">
        <is>
          <t>Обновление сервера</t>
        </is>
      </c>
      <c r="E386" s="43" t="n">
        <v>3.42</v>
      </c>
      <c r="F386" s="42" t="inlineStr">
        <is>
          <t>Нет</t>
        </is>
      </c>
      <c r="G386" s="44">
        <f>IF(billInc&gt;0,ROUNDUP(tblLog[[#This Row],[Часы]]/billInc,0)*billInc,tblLog[[#This Row],[Часы]])</f>
        <v>3.5</v>
      </c>
      <c r="H386" s="45">
        <f>IFERROR(INDEX(tblRates[СтавкаКлиенту],MATCH(tblLog[[#This Row],[Сотрудник]],tblRates[Сотрудник],0)),0)</f>
        <v>1900</v>
      </c>
      <c r="I386" s="45">
        <f>IF(tblLog[[#This Row],[Оплачиваемо]]=yesFlag,ROUND(tblLog[[#This Row],[ЧасыКОплате]]*tblLog[[#This Row],[Ставка]],2),0)</f>
        <v>0</v>
      </c>
      <c r="J386" s="45">
        <f>IFERROR(INDEX(tblRates[СтавкаСотруднику],MATCH(tblLog[[#This Row],[Сотрудник]],tblRates[Сотрудник],0)),0)</f>
        <v>1200</v>
      </c>
      <c r="K386" s="45">
        <f>ROUND(tblLog[[#This Row],[Часы]]*tblLog[[#This Row],[СтавкаЗП]],2)</f>
        <v>4104</v>
      </c>
    </row>
    <row r="387">
      <c r="A387" s="41" t="n">
        <v>46296</v>
      </c>
      <c r="B387" s="42" t="inlineStr">
        <is>
          <t>Сольберг Мира</t>
        </is>
      </c>
      <c r="C387" s="42" t="inlineStr">
        <is>
          <t>Мобильное приложение для цеха</t>
        </is>
      </c>
      <c r="D387" s="42" t="inlineStr">
        <is>
          <t>Офлайн-синхронизация</t>
        </is>
      </c>
      <c r="E387" s="43" t="n">
        <v>2.47</v>
      </c>
      <c r="F387" s="42" t="inlineStr">
        <is>
          <t>Да</t>
        </is>
      </c>
      <c r="G387" s="44">
        <f>IF(billInc&gt;0,ROUNDUP(tblLog[[#This Row],[Часы]]/billInc,0)*billInc,tblLog[[#This Row],[Часы]])</f>
        <v>2.5</v>
      </c>
      <c r="H387" s="45">
        <f>IFERROR(INDEX(tblRates[СтавкаКлиенту],MATCH(tblLog[[#This Row],[Сотрудник]],tblRates[Сотрудник],0)),0)</f>
        <v>3500</v>
      </c>
      <c r="I387" s="45">
        <f>IF(tblLog[[#This Row],[Оплачиваемо]]=yesFlag,ROUND(tblLog[[#This Row],[ЧасыКОплате]]*tblLog[[#This Row],[Ставка]],2),0)</f>
        <v>8750</v>
      </c>
      <c r="J387" s="45">
        <f>IFERROR(INDEX(tblRates[СтавкаСотруднику],MATCH(tblLog[[#This Row],[Сотрудник]],tblRates[Сотрудник],0)),0)</f>
        <v>2400</v>
      </c>
      <c r="K387" s="45">
        <f>ROUND(tblLog[[#This Row],[Часы]]*tblLog[[#This Row],[СтавкаЗП]],2)</f>
        <v>5928</v>
      </c>
    </row>
    <row r="388">
      <c r="A388" s="41" t="n">
        <v>46296</v>
      </c>
      <c r="B388" s="42" t="inlineStr">
        <is>
          <t>Сольберг Мира</t>
        </is>
      </c>
      <c r="C388" s="42" t="inlineStr">
        <is>
          <t>Поддержка</t>
        </is>
      </c>
      <c r="D388" s="42" t="inlineStr">
        <is>
          <t>Исправление ошибок</t>
        </is>
      </c>
      <c r="E388" s="43" t="n">
        <v>0.98</v>
      </c>
      <c r="F388" s="42" t="inlineStr">
        <is>
          <t>Да</t>
        </is>
      </c>
      <c r="G388" s="44">
        <f>IF(billInc&gt;0,ROUNDUP(tblLog[[#This Row],[Часы]]/billInc,0)*billInc,tblLog[[#This Row],[Часы]])</f>
        <v>1</v>
      </c>
      <c r="H388" s="45">
        <f>IFERROR(INDEX(tblRates[СтавкаКлиенту],MATCH(tblLog[[#This Row],[Сотрудник]],tblRates[Сотрудник],0)),0)</f>
        <v>3500</v>
      </c>
      <c r="I388" s="45">
        <f>IF(tblLog[[#This Row],[Оплачиваемо]]=yesFlag,ROUND(tblLog[[#This Row],[ЧасыКОплате]]*tblLog[[#This Row],[Ставка]],2),0)</f>
        <v>3500</v>
      </c>
      <c r="J388" s="45">
        <f>IFERROR(INDEX(tblRates[СтавкаСотруднику],MATCH(tblLog[[#This Row],[Сотрудник]],tblRates[Сотрудник],0)),0)</f>
        <v>2400</v>
      </c>
      <c r="K388" s="45">
        <f>ROUND(tblLog[[#This Row],[Часы]]*tblLog[[#This Row],[СтавкаЗП]],2)</f>
        <v>2352</v>
      </c>
    </row>
    <row r="389">
      <c r="A389" s="41" t="n">
        <v>46296</v>
      </c>
      <c r="B389" s="42" t="inlineStr">
        <is>
          <t>Сольберг Мира</t>
        </is>
      </c>
      <c r="C389" s="42" t="inlineStr">
        <is>
          <t>Мобильное приложение для цеха</t>
        </is>
      </c>
      <c r="D389" s="42" t="inlineStr">
        <is>
          <t>Push-уведомления</t>
        </is>
      </c>
      <c r="E389" s="43" t="n">
        <v>1.13</v>
      </c>
      <c r="F389" s="42" t="inlineStr">
        <is>
          <t>Да</t>
        </is>
      </c>
      <c r="G389" s="44">
        <f>IF(billInc&gt;0,ROUNDUP(tblLog[[#This Row],[Часы]]/billInc,0)*billInc,tblLog[[#This Row],[Часы]])</f>
        <v>1.25</v>
      </c>
      <c r="H389" s="45">
        <f>IFERROR(INDEX(tblRates[СтавкаКлиенту],MATCH(tblLog[[#This Row],[Сотрудник]],tblRates[Сотрудник],0)),0)</f>
        <v>3500</v>
      </c>
      <c r="I389" s="45">
        <f>IF(tblLog[[#This Row],[Оплачиваемо]]=yesFlag,ROUND(tblLog[[#This Row],[ЧасыКОплате]]*tblLog[[#This Row],[Ставка]],2),0)</f>
        <v>4375</v>
      </c>
      <c r="J389" s="45">
        <f>IFERROR(INDEX(tblRates[СтавкаСотруднику],MATCH(tblLog[[#This Row],[Сотрудник]],tblRates[Сотрудник],0)),0)</f>
        <v>2400</v>
      </c>
      <c r="K389" s="45">
        <f>ROUND(tblLog[[#This Row],[Часы]]*tblLog[[#This Row],[СтавкаЗП]],2)</f>
        <v>2712</v>
      </c>
    </row>
    <row r="390">
      <c r="A390" s="41" t="n">
        <v>46296</v>
      </c>
      <c r="B390" s="42" t="inlineStr">
        <is>
          <t>Сольберг Мира</t>
        </is>
      </c>
      <c r="C390" s="42" t="inlineStr">
        <is>
          <t>Мобильное приложение для цеха</t>
        </is>
      </c>
      <c r="D390" s="42" t="inlineStr">
        <is>
          <t>Push-уведомления</t>
        </is>
      </c>
      <c r="E390" s="43" t="n">
        <v>1.42</v>
      </c>
      <c r="F390" s="42" t="inlineStr">
        <is>
          <t>Да</t>
        </is>
      </c>
      <c r="G390" s="44">
        <f>IF(billInc&gt;0,ROUNDUP(tblLog[[#This Row],[Часы]]/billInc,0)*billInc,tblLog[[#This Row],[Часы]])</f>
        <v>1.5</v>
      </c>
      <c r="H390" s="45">
        <f>IFERROR(INDEX(tblRates[СтавкаКлиенту],MATCH(tblLog[[#This Row],[Сотрудник]],tblRates[Сотрудник],0)),0)</f>
        <v>3500</v>
      </c>
      <c r="I390" s="45">
        <f>IF(tblLog[[#This Row],[Оплачиваемо]]=yesFlag,ROUND(tblLog[[#This Row],[ЧасыКОплате]]*tblLog[[#This Row],[Ставка]],2),0)</f>
        <v>5250</v>
      </c>
      <c r="J390" s="45">
        <f>IFERROR(INDEX(tblRates[СтавкаСотруднику],MATCH(tblLog[[#This Row],[Сотрудник]],tblRates[Сотрудник],0)),0)</f>
        <v>2400</v>
      </c>
      <c r="K390" s="45">
        <f>ROUND(tblLog[[#This Row],[Часы]]*tblLog[[#This Row],[СтавкаЗП]],2)</f>
        <v>3408</v>
      </c>
    </row>
    <row r="391">
      <c r="A391" s="41" t="n">
        <v>46297</v>
      </c>
      <c r="B391" s="42" t="inlineStr">
        <is>
          <t>Бреннер Лука</t>
        </is>
      </c>
      <c r="C391" s="42" t="inlineStr">
        <is>
          <t>Клиентский портал</t>
        </is>
      </c>
      <c r="D391" s="42" t="inlineStr">
        <is>
          <t>Страница статуса заказа</t>
        </is>
      </c>
      <c r="E391" s="43" t="n">
        <v>3.86</v>
      </c>
      <c r="F391" s="42" t="inlineStr">
        <is>
          <t>Да</t>
        </is>
      </c>
      <c r="G391" s="44">
        <f>IF(billInc&gt;0,ROUNDUP(tblLog[[#This Row],[Часы]]/billInc,0)*billInc,tblLog[[#This Row],[Часы]])</f>
        <v>4</v>
      </c>
      <c r="H391" s="45">
        <f>IFERROR(INDEX(tblRates[СтавкаКлиенту],MATCH(tblLog[[#This Row],[Сотрудник]],tblRates[Сотрудник],0)),0)</f>
        <v>2300</v>
      </c>
      <c r="I391" s="45">
        <f>IF(tblLog[[#This Row],[Оплачиваемо]]=yesFlag,ROUND(tblLog[[#This Row],[ЧасыКОплате]]*tblLog[[#This Row],[Ставка]],2),0)</f>
        <v>9200</v>
      </c>
      <c r="J391" s="45">
        <f>IFERROR(INDEX(tblRates[СтавкаСотруднику],MATCH(tblLog[[#This Row],[Сотрудник]],tblRates[Сотрудник],0)),0)</f>
        <v>1500</v>
      </c>
      <c r="K391" s="45">
        <f>ROUND(tblLog[[#This Row],[Часы]]*tblLog[[#This Row],[СтавкаЗП]],2)</f>
        <v>5790</v>
      </c>
    </row>
    <row r="392">
      <c r="A392" s="41" t="n">
        <v>46297</v>
      </c>
      <c r="B392" s="42" t="inlineStr">
        <is>
          <t>Бреннер Лука</t>
        </is>
      </c>
      <c r="C392" s="42" t="inlineStr">
        <is>
          <t>Мобильное приложение для цеха</t>
        </is>
      </c>
      <c r="D392" s="42" t="inlineStr">
        <is>
          <t>Push-уведомления</t>
        </is>
      </c>
      <c r="E392" s="43" t="n">
        <v>1.23</v>
      </c>
      <c r="F392" s="42" t="inlineStr">
        <is>
          <t>Да</t>
        </is>
      </c>
      <c r="G392" s="44">
        <f>IF(billInc&gt;0,ROUNDUP(tblLog[[#This Row],[Часы]]/billInc,0)*billInc,tblLog[[#This Row],[Часы]])</f>
        <v>1.25</v>
      </c>
      <c r="H392" s="45">
        <f>IFERROR(INDEX(tblRates[СтавкаКлиенту],MATCH(tblLog[[#This Row],[Сотрудник]],tblRates[Сотрудник],0)),0)</f>
        <v>2300</v>
      </c>
      <c r="I392" s="45">
        <f>IF(tblLog[[#This Row],[Оплачиваемо]]=yesFlag,ROUND(tblLog[[#This Row],[ЧасыКОплате]]*tblLog[[#This Row],[Ставка]],2),0)</f>
        <v>2875</v>
      </c>
      <c r="J392" s="45">
        <f>IFERROR(INDEX(tblRates[СтавкаСотруднику],MATCH(tblLog[[#This Row],[Сотрудник]],tblRates[Сотрудник],0)),0)</f>
        <v>1500</v>
      </c>
      <c r="K392" s="45">
        <f>ROUND(tblLog[[#This Row],[Часы]]*tblLog[[#This Row],[СтавкаЗП]],2)</f>
        <v>1845</v>
      </c>
    </row>
    <row r="393">
      <c r="A393" s="41" t="n">
        <v>46297</v>
      </c>
      <c r="B393" s="42" t="inlineStr">
        <is>
          <t>Бреннер Лука</t>
        </is>
      </c>
      <c r="C393" s="42" t="inlineStr">
        <is>
          <t>Клиентский портал</t>
        </is>
      </c>
      <c r="D393" s="42" t="inlineStr">
        <is>
          <t>Страница статуса заказа</t>
        </is>
      </c>
      <c r="E393" s="43" t="n">
        <v>0.91</v>
      </c>
      <c r="F393" s="42" t="inlineStr">
        <is>
          <t>Да</t>
        </is>
      </c>
      <c r="G393" s="44">
        <f>IF(billInc&gt;0,ROUNDUP(tblLog[[#This Row],[Часы]]/billInc,0)*billInc,tblLog[[#This Row],[Часы]])</f>
        <v>1</v>
      </c>
      <c r="H393" s="45">
        <f>IFERROR(INDEX(tblRates[СтавкаКлиенту],MATCH(tblLog[[#This Row],[Сотрудник]],tblRates[Сотрудник],0)),0)</f>
        <v>2300</v>
      </c>
      <c r="I393" s="45">
        <f>IF(tblLog[[#This Row],[Оплачиваемо]]=yesFlag,ROUND(tblLog[[#This Row],[ЧасыКОплате]]*tblLog[[#This Row],[Ставка]],2),0)</f>
        <v>2300</v>
      </c>
      <c r="J393" s="45">
        <f>IFERROR(INDEX(tblRates[СтавкаСотруднику],MATCH(tblLog[[#This Row],[Сотрудник]],tblRates[Сотрудник],0)),0)</f>
        <v>1500</v>
      </c>
      <c r="K393" s="45">
        <f>ROUND(tblLog[[#This Row],[Часы]]*tblLog[[#This Row],[СтавкаЗП]],2)</f>
        <v>1365</v>
      </c>
    </row>
    <row r="394">
      <c r="A394" s="41" t="n">
        <v>46297</v>
      </c>
      <c r="B394" s="42" t="inlineStr">
        <is>
          <t>Варга Тео</t>
        </is>
      </c>
      <c r="C394" s="42" t="inlineStr">
        <is>
          <t>Мобильное приложение для цеха</t>
        </is>
      </c>
      <c r="D394" s="42" t="inlineStr">
        <is>
          <t>Сканирование штрихкодов</t>
        </is>
      </c>
      <c r="E394" s="43" t="n">
        <v>3.96</v>
      </c>
      <c r="F394" s="42" t="inlineStr">
        <is>
          <t>Да</t>
        </is>
      </c>
      <c r="G394" s="44">
        <f>IF(billInc&gt;0,ROUNDUP(tblLog[[#This Row],[Часы]]/billInc,0)*billInc,tblLog[[#This Row],[Часы]])</f>
        <v>4</v>
      </c>
      <c r="H394" s="45">
        <f>IFERROR(INDEX(tblRates[СтавкаКлиенту],MATCH(tblLog[[#This Row],[Сотрудник]],tblRates[Сотрудник],0)),0)</f>
        <v>2600</v>
      </c>
      <c r="I394" s="45">
        <f>IF(tblLog[[#This Row],[Оплачиваемо]]=yesFlag,ROUND(tblLog[[#This Row],[ЧасыКОплате]]*tblLog[[#This Row],[Ставка]],2),0)</f>
        <v>10400</v>
      </c>
      <c r="J394" s="45">
        <f>IFERROR(INDEX(tblRates[СтавкаСотруднику],MATCH(tblLog[[#This Row],[Сотрудник]],tblRates[Сотрудник],0)),0)</f>
        <v>1700</v>
      </c>
      <c r="K394" s="45">
        <f>ROUND(tblLog[[#This Row],[Часы]]*tblLog[[#This Row],[СтавкаЗП]],2)</f>
        <v>6732</v>
      </c>
    </row>
    <row r="395">
      <c r="A395" s="41" t="n">
        <v>46297</v>
      </c>
      <c r="B395" s="42" t="inlineStr">
        <is>
          <t>Варга Тео</t>
        </is>
      </c>
      <c r="C395" s="42" t="inlineStr">
        <is>
          <t>Клиентский портал</t>
        </is>
      </c>
      <c r="D395" s="42" t="inlineStr">
        <is>
          <t>Выгрузка отчётов</t>
        </is>
      </c>
      <c r="E395" s="43" t="n">
        <v>3.08</v>
      </c>
      <c r="F395" s="42" t="inlineStr">
        <is>
          <t>Да</t>
        </is>
      </c>
      <c r="G395" s="44">
        <f>IF(billInc&gt;0,ROUNDUP(tblLog[[#This Row],[Часы]]/billInc,0)*billInc,tblLog[[#This Row],[Часы]])</f>
        <v>3.25</v>
      </c>
      <c r="H395" s="45">
        <f>IFERROR(INDEX(tblRates[СтавкаКлиенту],MATCH(tblLog[[#This Row],[Сотрудник]],tblRates[Сотрудник],0)),0)</f>
        <v>2600</v>
      </c>
      <c r="I395" s="45">
        <f>IF(tblLog[[#This Row],[Оплачиваемо]]=yesFlag,ROUND(tblLog[[#This Row],[ЧасыКОплате]]*tblLog[[#This Row],[Ставка]],2),0)</f>
        <v>8450</v>
      </c>
      <c r="J395" s="45">
        <f>IFERROR(INDEX(tblRates[СтавкаСотруднику],MATCH(tblLog[[#This Row],[Сотрудник]],tblRates[Сотрудник],0)),0)</f>
        <v>1700</v>
      </c>
      <c r="K395" s="45">
        <f>ROUND(tblLog[[#This Row],[Часы]]*tblLog[[#This Row],[СтавкаЗП]],2)</f>
        <v>5236</v>
      </c>
    </row>
    <row r="396">
      <c r="A396" s="41" t="n">
        <v>46297</v>
      </c>
      <c r="B396" s="42" t="inlineStr">
        <is>
          <t>Варга Тео</t>
        </is>
      </c>
      <c r="C396" s="42" t="inlineStr">
        <is>
          <t>Клиентский портал</t>
        </is>
      </c>
      <c r="D396" s="42" t="inlineStr">
        <is>
          <t>Код-ревью</t>
        </is>
      </c>
      <c r="E396" s="43" t="n">
        <v>1.46</v>
      </c>
      <c r="F396" s="42" t="inlineStr">
        <is>
          <t>Да</t>
        </is>
      </c>
      <c r="G396" s="44">
        <f>IF(billInc&gt;0,ROUNDUP(tblLog[[#This Row],[Часы]]/billInc,0)*billInc,tblLog[[#This Row],[Часы]])</f>
        <v>1.5</v>
      </c>
      <c r="H396" s="45">
        <f>IFERROR(INDEX(tblRates[СтавкаКлиенту],MATCH(tblLog[[#This Row],[Сотрудник]],tblRates[Сотрудник],0)),0)</f>
        <v>2600</v>
      </c>
      <c r="I396" s="45">
        <f>IF(tblLog[[#This Row],[Оплачиваемо]]=yesFlag,ROUND(tblLog[[#This Row],[ЧасыКОплате]]*tblLog[[#This Row],[Ставка]],2),0)</f>
        <v>3900</v>
      </c>
      <c r="J396" s="45">
        <f>IFERROR(INDEX(tblRates[СтавкаСотруднику],MATCH(tblLog[[#This Row],[Сотрудник]],tblRates[Сотрудник],0)),0)</f>
        <v>1700</v>
      </c>
      <c r="K396" s="45">
        <f>ROUND(tblLog[[#This Row],[Часы]]*tblLog[[#This Row],[СтавкаЗП]],2)</f>
        <v>2482</v>
      </c>
    </row>
    <row r="397">
      <c r="A397" s="41" t="n">
        <v>46297</v>
      </c>
      <c r="B397" s="42" t="inlineStr">
        <is>
          <t>Окафор Инес</t>
        </is>
      </c>
      <c r="C397" s="42" t="inlineStr">
        <is>
          <t>Клиентский портал</t>
        </is>
      </c>
      <c r="D397" s="42" t="inlineStr">
        <is>
          <t>Код-ревью</t>
        </is>
      </c>
      <c r="E397" s="43" t="n">
        <v>0.6899999999999999</v>
      </c>
      <c r="F397" s="42" t="inlineStr">
        <is>
          <t>Да</t>
        </is>
      </c>
      <c r="G397" s="44">
        <f>IF(billInc&gt;0,ROUNDUP(tblLog[[#This Row],[Часы]]/billInc,0)*billInc,tblLog[[#This Row],[Часы]])</f>
        <v>0.75</v>
      </c>
      <c r="H397" s="45">
        <f>IFERROR(INDEX(tblRates[СтавкаКлиенту],MATCH(tblLog[[#This Row],[Сотрудник]],tblRates[Сотрудник],0)),0)</f>
        <v>1900</v>
      </c>
      <c r="I397" s="45">
        <f>IF(tblLog[[#This Row],[Оплачиваемо]]=yesFlag,ROUND(tblLog[[#This Row],[ЧасыКОплате]]*tblLog[[#This Row],[Ставка]],2),0)</f>
        <v>1425</v>
      </c>
      <c r="J397" s="45">
        <f>IFERROR(INDEX(tblRates[СтавкаСотруднику],MATCH(tblLog[[#This Row],[Сотрудник]],tblRates[Сотрудник],0)),0)</f>
        <v>1200</v>
      </c>
      <c r="K397" s="45">
        <f>ROUND(tblLog[[#This Row],[Часы]]*tblLog[[#This Row],[СтавкаЗП]],2)</f>
        <v>828</v>
      </c>
    </row>
    <row r="398">
      <c r="A398" s="41" t="n">
        <v>46297</v>
      </c>
      <c r="B398" s="42" t="inlineStr">
        <is>
          <t>Окафор Инес</t>
        </is>
      </c>
      <c r="C398" s="42" t="inlineStr">
        <is>
          <t>Клиентский портал</t>
        </is>
      </c>
      <c r="D398" s="42" t="inlineStr">
        <is>
          <t>Код-ревью</t>
        </is>
      </c>
      <c r="E398" s="43" t="n">
        <v>1.86</v>
      </c>
      <c r="F398" s="42" t="inlineStr">
        <is>
          <t>Нет</t>
        </is>
      </c>
      <c r="G398" s="44">
        <f>IF(billInc&gt;0,ROUNDUP(tblLog[[#This Row],[Часы]]/billInc,0)*billInc,tblLog[[#This Row],[Часы]])</f>
        <v>2</v>
      </c>
      <c r="H398" s="45">
        <f>IFERROR(INDEX(tblRates[СтавкаКлиенту],MATCH(tblLog[[#This Row],[Сотрудник]],tblRates[Сотрудник],0)),0)</f>
        <v>1900</v>
      </c>
      <c r="I398" s="45">
        <f>IF(tblLog[[#This Row],[Оплачиваемо]]=yesFlag,ROUND(tblLog[[#This Row],[ЧасыКОплате]]*tblLog[[#This Row],[Ставка]],2),0)</f>
        <v>0</v>
      </c>
      <c r="J398" s="45">
        <f>IFERROR(INDEX(tblRates[СтавкаСотруднику],MATCH(tblLog[[#This Row],[Сотрудник]],tblRates[Сотрудник],0)),0)</f>
        <v>1200</v>
      </c>
      <c r="K398" s="45">
        <f>ROUND(tblLog[[#This Row],[Часы]]*tblLog[[#This Row],[СтавкаЗП]],2)</f>
        <v>2232</v>
      </c>
    </row>
    <row r="399">
      <c r="A399" s="41" t="n">
        <v>46297</v>
      </c>
      <c r="B399" s="42" t="inlineStr">
        <is>
          <t>Окафор Инес</t>
        </is>
      </c>
      <c r="C399" s="42" t="inlineStr">
        <is>
          <t>Мобильное приложение для цеха</t>
        </is>
      </c>
      <c r="D399" s="42" t="inlineStr">
        <is>
          <t>Push-уведомления</t>
        </is>
      </c>
      <c r="E399" s="43" t="n">
        <v>0.53</v>
      </c>
      <c r="F399" s="42" t="inlineStr">
        <is>
          <t>Да</t>
        </is>
      </c>
      <c r="G399" s="44">
        <f>IF(billInc&gt;0,ROUNDUP(tblLog[[#This Row],[Часы]]/billInc,0)*billInc,tblLog[[#This Row],[Часы]])</f>
        <v>0.75</v>
      </c>
      <c r="H399" s="45">
        <f>IFERROR(INDEX(tblRates[СтавкаКлиенту],MATCH(tblLog[[#This Row],[Сотрудник]],tblRates[Сотрудник],0)),0)</f>
        <v>1900</v>
      </c>
      <c r="I399" s="45">
        <f>IF(tblLog[[#This Row],[Оплачиваемо]]=yesFlag,ROUND(tblLog[[#This Row],[ЧасыКОплате]]*tblLog[[#This Row],[Ставка]],2),0)</f>
        <v>1425</v>
      </c>
      <c r="J399" s="45">
        <f>IFERROR(INDEX(tblRates[СтавкаСотруднику],MATCH(tblLog[[#This Row],[Сотрудник]],tblRates[Сотрудник],0)),0)</f>
        <v>1200</v>
      </c>
      <c r="K399" s="45">
        <f>ROUND(tblLog[[#This Row],[Часы]]*tblLog[[#This Row],[СтавкаЗП]],2)</f>
        <v>636</v>
      </c>
    </row>
    <row r="400">
      <c r="A400" s="41" t="n">
        <v>46297</v>
      </c>
      <c r="B400" s="42" t="inlineStr">
        <is>
          <t>Окафор Инес</t>
        </is>
      </c>
      <c r="C400" s="42" t="inlineStr">
        <is>
          <t>Поддержка</t>
        </is>
      </c>
      <c r="D400" s="42" t="inlineStr">
        <is>
          <t>Обновление сервера</t>
        </is>
      </c>
      <c r="E400" s="43" t="n">
        <v>1.36</v>
      </c>
      <c r="F400" s="42" t="inlineStr">
        <is>
          <t>Нет</t>
        </is>
      </c>
      <c r="G400" s="44">
        <f>IF(billInc&gt;0,ROUNDUP(tblLog[[#This Row],[Часы]]/billInc,0)*billInc,tblLog[[#This Row],[Часы]])</f>
        <v>1.5</v>
      </c>
      <c r="H400" s="45">
        <f>IFERROR(INDEX(tblRates[СтавкаКлиенту],MATCH(tblLog[[#This Row],[Сотрудник]],tblRates[Сотрудник],0)),0)</f>
        <v>1900</v>
      </c>
      <c r="I400" s="45">
        <f>IF(tblLog[[#This Row],[Оплачиваемо]]=yesFlag,ROUND(tblLog[[#This Row],[ЧасыКОплате]]*tblLog[[#This Row],[Ставка]],2),0)</f>
        <v>0</v>
      </c>
      <c r="J400" s="45">
        <f>IFERROR(INDEX(tblRates[СтавкаСотруднику],MATCH(tblLog[[#This Row],[Сотрудник]],tblRates[Сотрудник],0)),0)</f>
        <v>1200</v>
      </c>
      <c r="K400" s="45">
        <f>ROUND(tblLog[[#This Row],[Часы]]*tblLog[[#This Row],[СтавкаЗП]],2)</f>
        <v>1632</v>
      </c>
    </row>
    <row r="401">
      <c r="A401" s="41" t="n">
        <v>46297</v>
      </c>
      <c r="B401" s="42" t="inlineStr">
        <is>
          <t>Окафор Инес</t>
        </is>
      </c>
      <c r="C401" s="42" t="inlineStr">
        <is>
          <t>Клиентский портал</t>
        </is>
      </c>
      <c r="D401" s="42" t="inlineStr">
        <is>
          <t>Авторизация и роли</t>
        </is>
      </c>
      <c r="E401" s="43" t="n">
        <v>2.2</v>
      </c>
      <c r="F401" s="42" t="inlineStr">
        <is>
          <t>Да</t>
        </is>
      </c>
      <c r="G401" s="44">
        <f>IF(billInc&gt;0,ROUNDUP(tblLog[[#This Row],[Часы]]/billInc,0)*billInc,tblLog[[#This Row],[Часы]])</f>
        <v>2.25</v>
      </c>
      <c r="H401" s="45">
        <f>IFERROR(INDEX(tblRates[СтавкаКлиенту],MATCH(tblLog[[#This Row],[Сотрудник]],tblRates[Сотрудник],0)),0)</f>
        <v>1900</v>
      </c>
      <c r="I401" s="45">
        <f>IF(tblLog[[#This Row],[Оплачиваемо]]=yesFlag,ROUND(tblLog[[#This Row],[ЧасыКОплате]]*tblLog[[#This Row],[Ставка]],2),0)</f>
        <v>4275</v>
      </c>
      <c r="J401" s="45">
        <f>IFERROR(INDEX(tblRates[СтавкаСотруднику],MATCH(tblLog[[#This Row],[Сотрудник]],tblRates[Сотрудник],0)),0)</f>
        <v>1200</v>
      </c>
      <c r="K401" s="45">
        <f>ROUND(tblLog[[#This Row],[Часы]]*tblLog[[#This Row],[СтавкаЗП]],2)</f>
        <v>2640</v>
      </c>
    </row>
    <row r="402">
      <c r="A402" s="41" t="n">
        <v>46297</v>
      </c>
      <c r="B402" s="42" t="inlineStr">
        <is>
          <t>Окафор Инес</t>
        </is>
      </c>
      <c r="C402" s="42" t="inlineStr">
        <is>
          <t>Клиентский портал</t>
        </is>
      </c>
      <c r="D402" s="42" t="inlineStr">
        <is>
          <t>Выгрузка отчётов</t>
        </is>
      </c>
      <c r="E402" s="43" t="n">
        <v>1.36</v>
      </c>
      <c r="F402" s="42" t="inlineStr">
        <is>
          <t>Да</t>
        </is>
      </c>
      <c r="G402" s="44">
        <f>IF(billInc&gt;0,ROUNDUP(tblLog[[#This Row],[Часы]]/billInc,0)*billInc,tblLog[[#This Row],[Часы]])</f>
        <v>1.5</v>
      </c>
      <c r="H402" s="45">
        <f>IFERROR(INDEX(tblRates[СтавкаКлиенту],MATCH(tblLog[[#This Row],[Сотрудник]],tblRates[Сотрудник],0)),0)</f>
        <v>1900</v>
      </c>
      <c r="I402" s="45">
        <f>IF(tblLog[[#This Row],[Оплачиваемо]]=yesFlag,ROUND(tblLog[[#This Row],[ЧасыКОплате]]*tblLog[[#This Row],[Ставка]],2),0)</f>
        <v>2850</v>
      </c>
      <c r="J402" s="45">
        <f>IFERROR(INDEX(tblRates[СтавкаСотруднику],MATCH(tblLog[[#This Row],[Сотрудник]],tblRates[Сотрудник],0)),0)</f>
        <v>1200</v>
      </c>
      <c r="K402" s="45">
        <f>ROUND(tblLog[[#This Row],[Часы]]*tblLog[[#This Row],[СтавкаЗП]],2)</f>
        <v>1632</v>
      </c>
    </row>
    <row r="403">
      <c r="A403" s="41" t="n">
        <v>46297</v>
      </c>
      <c r="B403" s="42" t="inlineStr">
        <is>
          <t>Сольберг Мира</t>
        </is>
      </c>
      <c r="C403" s="42" t="inlineStr">
        <is>
          <t>Клиентский портал</t>
        </is>
      </c>
      <c r="D403" s="42" t="inlineStr">
        <is>
          <t>Выгрузка отчётов</t>
        </is>
      </c>
      <c r="E403" s="43" t="n">
        <v>2.51</v>
      </c>
      <c r="F403" s="42" t="inlineStr">
        <is>
          <t>Да</t>
        </is>
      </c>
      <c r="G403" s="44">
        <f>IF(billInc&gt;0,ROUNDUP(tblLog[[#This Row],[Часы]]/billInc,0)*billInc,tblLog[[#This Row],[Часы]])</f>
        <v>2.75</v>
      </c>
      <c r="H403" s="45">
        <f>IFERROR(INDEX(tblRates[СтавкаКлиенту],MATCH(tblLog[[#This Row],[Сотрудник]],tblRates[Сотрудник],0)),0)</f>
        <v>3500</v>
      </c>
      <c r="I403" s="45">
        <f>IF(tblLog[[#This Row],[Оплачиваемо]]=yesFlag,ROUND(tblLog[[#This Row],[ЧасыКОплате]]*tblLog[[#This Row],[Ставка]],2),0)</f>
        <v>9625</v>
      </c>
      <c r="J403" s="45">
        <f>IFERROR(INDEX(tblRates[СтавкаСотруднику],MATCH(tblLog[[#This Row],[Сотрудник]],tblRates[Сотрудник],0)),0)</f>
        <v>2400</v>
      </c>
      <c r="K403" s="45">
        <f>ROUND(tblLog[[#This Row],[Часы]]*tblLog[[#This Row],[СтавкаЗП]],2)</f>
        <v>6024</v>
      </c>
    </row>
    <row r="404">
      <c r="A404" s="41" t="n">
        <v>46297</v>
      </c>
      <c r="B404" s="42" t="inlineStr">
        <is>
          <t>Сольберг Мира</t>
        </is>
      </c>
      <c r="C404" s="42" t="inlineStr">
        <is>
          <t>Клиентский портал</t>
        </is>
      </c>
      <c r="D404" s="42" t="inlineStr">
        <is>
          <t>Страница статуса заказа</t>
        </is>
      </c>
      <c r="E404" s="43" t="n">
        <v>0.76</v>
      </c>
      <c r="F404" s="42" t="inlineStr">
        <is>
          <t>Да</t>
        </is>
      </c>
      <c r="G404" s="44">
        <f>IF(billInc&gt;0,ROUNDUP(tblLog[[#This Row],[Часы]]/billInc,0)*billInc,tblLog[[#This Row],[Часы]])</f>
        <v>1</v>
      </c>
      <c r="H404" s="45">
        <f>IFERROR(INDEX(tblRates[СтавкаКлиенту],MATCH(tblLog[[#This Row],[Сотрудник]],tblRates[Сотрудник],0)),0)</f>
        <v>3500</v>
      </c>
      <c r="I404" s="45">
        <f>IF(tblLog[[#This Row],[Оплачиваемо]]=yesFlag,ROUND(tblLog[[#This Row],[ЧасыКОплате]]*tblLog[[#This Row],[Ставка]],2),0)</f>
        <v>3500</v>
      </c>
      <c r="J404" s="45">
        <f>IFERROR(INDEX(tblRates[СтавкаСотруднику],MATCH(tblLog[[#This Row],[Сотрудник]],tblRates[Сотрудник],0)),0)</f>
        <v>2400</v>
      </c>
      <c r="K404" s="45">
        <f>ROUND(tblLog[[#This Row],[Часы]]*tblLog[[#This Row],[СтавкаЗП]],2)</f>
        <v>1824</v>
      </c>
    </row>
    <row r="405">
      <c r="A405" s="41" t="n">
        <v>46297</v>
      </c>
      <c r="B405" s="42" t="inlineStr">
        <is>
          <t>Сольберг Мира</t>
        </is>
      </c>
      <c r="C405" s="42" t="inlineStr">
        <is>
          <t>Клиентский портал</t>
        </is>
      </c>
      <c r="D405" s="42" t="inlineStr">
        <is>
          <t>Код-ревью</t>
        </is>
      </c>
      <c r="E405" s="43" t="n">
        <v>0.96</v>
      </c>
      <c r="F405" s="42" t="inlineStr">
        <is>
          <t>Да</t>
        </is>
      </c>
      <c r="G405" s="44">
        <f>IF(billInc&gt;0,ROUNDUP(tblLog[[#This Row],[Часы]]/billInc,0)*billInc,tblLog[[#This Row],[Часы]])</f>
        <v>1</v>
      </c>
      <c r="H405" s="45">
        <f>IFERROR(INDEX(tblRates[СтавкаКлиенту],MATCH(tblLog[[#This Row],[Сотрудник]],tblRates[Сотрудник],0)),0)</f>
        <v>3500</v>
      </c>
      <c r="I405" s="45">
        <f>IF(tblLog[[#This Row],[Оплачиваемо]]=yesFlag,ROUND(tblLog[[#This Row],[ЧасыКОплате]]*tblLog[[#This Row],[Ставка]],2),0)</f>
        <v>3500</v>
      </c>
      <c r="J405" s="45">
        <f>IFERROR(INDEX(tblRates[СтавкаСотруднику],MATCH(tblLog[[#This Row],[Сотрудник]],tblRates[Сотрудник],0)),0)</f>
        <v>2400</v>
      </c>
      <c r="K405" s="45">
        <f>ROUND(tblLog[[#This Row],[Часы]]*tblLog[[#This Row],[СтавкаЗП]],2)</f>
        <v>2304</v>
      </c>
    </row>
    <row r="406">
      <c r="A406" s="41" t="n">
        <v>46297</v>
      </c>
      <c r="B406" s="42" t="inlineStr">
        <is>
          <t>Сольберг Мира</t>
        </is>
      </c>
      <c r="C406" s="42" t="inlineStr">
        <is>
          <t>Клиентский портал</t>
        </is>
      </c>
      <c r="D406" s="42" t="inlineStr">
        <is>
          <t>Код-ревью</t>
        </is>
      </c>
      <c r="E406" s="43" t="n">
        <v>3.23</v>
      </c>
      <c r="F406" s="42" t="inlineStr">
        <is>
          <t>Да</t>
        </is>
      </c>
      <c r="G406" s="44">
        <f>IF(billInc&gt;0,ROUNDUP(tblLog[[#This Row],[Часы]]/billInc,0)*billInc,tblLog[[#This Row],[Часы]])</f>
        <v>3.25</v>
      </c>
      <c r="H406" s="45">
        <f>IFERROR(INDEX(tblRates[СтавкаКлиенту],MATCH(tblLog[[#This Row],[Сотрудник]],tblRates[Сотрудник],0)),0)</f>
        <v>3500</v>
      </c>
      <c r="I406" s="45">
        <f>IF(tblLog[[#This Row],[Оплачиваемо]]=yesFlag,ROUND(tblLog[[#This Row],[ЧасыКОплате]]*tblLog[[#This Row],[Ставка]],2),0)</f>
        <v>11375</v>
      </c>
      <c r="J406" s="45">
        <f>IFERROR(INDEX(tblRates[СтавкаСотруднику],MATCH(tblLog[[#This Row],[Сотрудник]],tblRates[Сотрудник],0)),0)</f>
        <v>2400</v>
      </c>
      <c r="K406" s="45">
        <f>ROUND(tblLog[[#This Row],[Часы]]*tblLog[[#This Row],[СтавкаЗП]],2)</f>
        <v>7752</v>
      </c>
    </row>
  </sheetData>
  <dataValidations count="2">
    <dataValidation sqref="F2:F906" showDropDown="0" showInputMessage="0" showErrorMessage="1" allowBlank="0" errorTitle="Недопустимое значение" error="Выберите значение из списка." type="list">
      <formula1>"Да,Нет"</formula1>
    </dataValidation>
    <dataValidation sqref="B2:B906" showDropDown="0" showInputMessage="0" showErrorMessage="1" allowBlank="0" errorTitle="Недопустимое значение" error="Выберите значение из списка." type="list">
      <formula1>lstEmployees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1" tabSelected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6" customWidth="1" min="3" max="3"/>
    <col width="18" customWidth="1" min="4" max="4"/>
    <col width="70" customWidth="1" min="6" max="6"/>
  </cols>
  <sheetData>
    <row r="1">
      <c r="A1" s="40" t="inlineStr">
        <is>
          <t>Сотрудник</t>
        </is>
      </c>
      <c r="B1" s="40" t="inlineStr">
        <is>
          <t>Роль</t>
        </is>
      </c>
      <c r="C1" s="40" t="inlineStr">
        <is>
          <t>СтавкаКлиенту</t>
        </is>
      </c>
      <c r="D1" s="40" t="inlineStr">
        <is>
          <t>СтавкаСотруднику</t>
        </is>
      </c>
      <c r="F1" s="29" t="inlineStr">
        <is>
          <t>Ставки — поля ввода. Имя в журнале должно точно совпадать с именем здесь.</t>
        </is>
      </c>
    </row>
    <row r="2">
      <c r="A2" s="42" t="inlineStr">
        <is>
          <t>Сольберг Мира</t>
        </is>
      </c>
      <c r="B2" s="42" t="inlineStr">
        <is>
          <t>Ведущий разработчик</t>
        </is>
      </c>
      <c r="C2" s="46" t="n">
        <v>3500</v>
      </c>
      <c r="D2" s="46" t="n">
        <v>2400</v>
      </c>
    </row>
    <row r="3">
      <c r="A3" s="42" t="inlineStr">
        <is>
          <t>Варга Тео</t>
        </is>
      </c>
      <c r="B3" s="42" t="inlineStr">
        <is>
          <t>Разработчик</t>
        </is>
      </c>
      <c r="C3" s="46" t="n">
        <v>2600</v>
      </c>
      <c r="D3" s="46" t="n">
        <v>1700</v>
      </c>
    </row>
    <row r="4">
      <c r="A4" s="42" t="inlineStr">
        <is>
          <t>Окафор Инес</t>
        </is>
      </c>
      <c r="B4" s="42" t="inlineStr">
        <is>
          <t>Тестировщик</t>
        </is>
      </c>
      <c r="C4" s="46" t="n">
        <v>1900</v>
      </c>
      <c r="D4" s="46" t="n">
        <v>1200</v>
      </c>
    </row>
    <row r="5">
      <c r="A5" s="42" t="inlineStr">
        <is>
          <t>Бреннер Лука</t>
        </is>
      </c>
      <c r="B5" s="42" t="inlineStr">
        <is>
          <t>UI-дизайнер</t>
        </is>
      </c>
      <c r="C5" s="46" t="n">
        <v>2300</v>
      </c>
      <c r="D5" s="46" t="n">
        <v>1500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D24"/>
  <sheetViews>
    <sheetView showGridLines="0" tabSelected="0" zoomScale="10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34" customWidth="1" min="3" max="3"/>
    <col width="60" customWidth="1" min="4" max="4"/>
  </cols>
  <sheetData>
    <row r="1" ht="30" customHeight="1">
      <c r="B1" s="27" t="inlineStr">
        <is>
          <t>Настройки счёта и зарплаты</t>
        </is>
      </c>
      <c r="C1" s="28" t="n"/>
      <c r="D1" s="28" t="n"/>
    </row>
    <row r="2">
      <c r="B2" s="29" t="inlineStr">
        <is>
          <t>Демо-проект · Demo project — компании, люди и цифры вымышлены</t>
        </is>
      </c>
    </row>
    <row r="4" ht="30" customHeight="1">
      <c r="B4" s="9" t="inlineStr">
        <is>
          <t>Параметр</t>
        </is>
      </c>
      <c r="C4" s="10" t="inlineStr">
        <is>
          <t>Значение</t>
        </is>
      </c>
      <c r="D4" s="10" t="inlineStr">
        <is>
          <t>Примечание</t>
        </is>
      </c>
    </row>
    <row r="5">
      <c r="B5" s="47" t="inlineStr">
        <is>
          <t>Номер счёта</t>
        </is>
      </c>
      <c r="C5" s="48" t="inlineStr">
        <is>
          <t>2026-09-001</t>
        </is>
      </c>
      <c r="D5" s="13" t="inlineStr">
        <is>
          <t>Печатается в счёте</t>
        </is>
      </c>
    </row>
    <row r="6">
      <c r="B6" s="47" t="inlineStr">
        <is>
          <t>Дата счёта</t>
        </is>
      </c>
      <c r="C6" s="49" t="n">
        <v>46296</v>
      </c>
      <c r="D6" s="13" t="inlineStr"/>
    </row>
    <row r="7">
      <c r="B7" s="47" t="inlineStr">
        <is>
          <t>Период с</t>
        </is>
      </c>
      <c r="C7" s="49" t="n">
        <v>46266</v>
      </c>
      <c r="D7" s="13" t="inlineStr">
        <is>
          <t>В счёт и зарплату попадают только строки внутри периода</t>
        </is>
      </c>
    </row>
    <row r="8">
      <c r="B8" s="47" t="inlineStr">
        <is>
          <t>Период по</t>
        </is>
      </c>
      <c r="C8" s="49" t="n">
        <v>46295</v>
      </c>
      <c r="D8" s="13" t="inlineStr">
        <is>
          <t>Включительно</t>
        </is>
      </c>
    </row>
    <row r="9">
      <c r="B9" s="47" t="inlineStr">
        <is>
          <t>Срок оплаты, дней</t>
        </is>
      </c>
      <c r="C9" s="50" t="n">
        <v>14</v>
      </c>
      <c r="D9" s="13" t="inlineStr">
        <is>
          <t>Оплатить до = дата счёта + срок</t>
        </is>
      </c>
    </row>
    <row r="10">
      <c r="B10" s="47" t="inlineStr">
        <is>
          <t>Шаг округления, ч</t>
        </is>
      </c>
      <c r="C10" s="51" t="n">
        <v>0.25</v>
      </c>
      <c r="D10" s="13" t="inlineStr">
        <is>
          <t>Каждая запись округляется ВВЕРХ до шага (0,25 = 15 мин; 0 — без округления)</t>
        </is>
      </c>
    </row>
    <row r="11">
      <c r="B11" s="47" t="inlineStr">
        <is>
          <t>Ставка налога / НДС</t>
        </is>
      </c>
      <c r="C11" s="52" t="n">
        <v>0</v>
      </c>
      <c r="D11" s="13" t="inlineStr">
        <is>
          <t>0%, если не применяется</t>
        </is>
      </c>
    </row>
    <row r="12">
      <c r="B12" s="47" t="inlineStr">
        <is>
          <t>Валюта</t>
        </is>
      </c>
      <c r="C12" s="48" t="inlineStr">
        <is>
          <t>RUB</t>
        </is>
      </c>
      <c r="D12" s="13" t="inlineStr">
        <is>
          <t>Подставляется в заголовки</t>
        </is>
      </c>
    </row>
    <row r="13">
      <c r="B13" s="47" t="inlineStr">
        <is>
          <t>Исполнитель: Название</t>
        </is>
      </c>
      <c r="C13" s="53" t="inlineStr">
        <is>
          <t>Brindlecote Digital (демо)</t>
        </is>
      </c>
      <c r="D13" s="12" t="inlineStr"/>
    </row>
    <row r="14">
      <c r="B14" s="47" t="inlineStr">
        <is>
          <t>Исполнитель: Адрес</t>
        </is>
      </c>
      <c r="C14" s="53" t="inlineStr">
        <is>
          <t>г. Примерск, ул. Образцовая, 12</t>
        </is>
      </c>
      <c r="D14" s="12" t="inlineStr"/>
    </row>
    <row r="15">
      <c r="B15" s="47" t="inlineStr">
        <is>
          <t>Исполнитель: E-mail</t>
        </is>
      </c>
      <c r="C15" s="53" t="inlineStr">
        <is>
          <t>billing@brindlecote.example</t>
        </is>
      </c>
      <c r="D15" s="12" t="inlineStr"/>
    </row>
    <row r="16">
      <c r="B16" s="47" t="inlineStr">
        <is>
          <t>Заказчик: Название</t>
        </is>
      </c>
      <c r="C16" s="53" t="inlineStr">
        <is>
          <t>ООО «Quillmoor Machining» (демо)</t>
        </is>
      </c>
      <c r="D16" s="12" t="inlineStr"/>
    </row>
    <row r="17">
      <c r="B17" s="47" t="inlineStr">
        <is>
          <t>Заказчик: Адрес</t>
        </is>
      </c>
      <c r="C17" s="53" t="inlineStr">
        <is>
          <t>г. Условный, Тестовое шоссе, 400</t>
        </is>
      </c>
      <c r="D17" s="12" t="inlineStr"/>
    </row>
    <row r="18">
      <c r="B18" s="47" t="inlineStr">
        <is>
          <t>Значение «оплачиваемо»</t>
        </is>
      </c>
      <c r="C18" s="54" t="inlineStr">
        <is>
          <t>Да</t>
        </is>
      </c>
      <c r="D18" s="13" t="inlineStr">
        <is>
          <t>"Да" / "Нет"</t>
        </is>
      </c>
    </row>
    <row r="20">
      <c r="B20" s="20" t="inlineStr">
        <is>
          <t>Проверки</t>
        </is>
      </c>
    </row>
    <row r="21">
      <c r="B21" s="12" t="inlineStr">
        <is>
          <t>Период</t>
        </is>
      </c>
      <c r="C21" s="11" t="str">
        <f>IF(perTo&lt;perFrom,"⚠ «Период по» раньше, чем «Период с»","✓ OK")</f>
        <v>✓ OK</v>
      </c>
    </row>
    <row r="22">
      <c r="B22" s="12" t="inlineStr">
        <is>
          <t>Строк журнала в периоде</t>
        </is>
      </c>
      <c r="C22" s="11">
        <f>COUNTIFS(tblLog[Дата],"&gt;="&amp;perFrom,tblLog[Дата],"&lt;="&amp;perTo)</f>
        <v>312</v>
      </c>
    </row>
    <row r="23">
      <c r="B23" s="12" t="inlineStr">
        <is>
          <t>Строк журнала вне периода</t>
        </is>
      </c>
      <c r="C23" s="11">
        <f>COUNT(tblLog[Дата])-C22</f>
        <v>93</v>
      </c>
    </row>
    <row r="24">
      <c r="B24" s="12" t="inlineStr">
        <is>
          <t>Строк без ставки (ставка = 0)</t>
        </is>
      </c>
      <c r="C24" s="11">
        <f>COUNTIF(tblLog[Ставка],0)</f>
        <v>0</v>
      </c>
    </row>
  </sheetData>
  <conditionalFormatting sqref="C21">
    <cfRule type="expression" priority="1" dxfId="1">
      <formula>perTo&lt;perFrom</formula>
    </cfRule>
  </conditionalFormatting>
  <conditionalFormatting sqref="C24">
    <cfRule type="expression" priority="2" dxfId="1">
      <formula>C24&gt;0</formula>
    </cfRule>
  </conditionalFormatting>
  <dataValidations count="2">
    <dataValidation sqref="C10" showDropDown="0" showInputMessage="0" showErrorMessage="1" allowBlank="0" errorTitle="Недопустимое значение" error="0 – 8" type="decimal" operator="between">
      <formula1>0</formula1>
      <formula2>8</formula2>
    </dataValidation>
    <dataValidation sqref="C11" showDropDown="0" showInputMessage="0" showErrorMessage="1" allowBlank="0" errorTitle="Недопустимое значение" error="0% – 100%" type="decimal" operator="between">
      <formula1>0</formula1>
      <formula2>1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xldash demo (github.com/sinnercode228)</dc:creator>
  <dc:title>СЧЁТ 2026-09-001</dc:title>
  <dc:description>Демо-проект · Demo project — компании, люди и цифры вымышлены</dc:description>
  <dcterms:created xsi:type="dcterms:W3CDTF">2026-09-24T15:31:39Z</dcterms:created>
  <dcterms:modified xsi:type="dcterms:W3CDTF">2026-09-24T15:31:40Z</dcterms:modified>
</cp:coreProperties>
</file>